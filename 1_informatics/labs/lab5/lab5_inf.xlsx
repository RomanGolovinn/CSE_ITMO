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<sst xmlns="http://schemas.openxmlformats.org/spreadsheetml/2006/main" count="70" uniqueCount="33">
  <si>
    <t xml:space="preserve">A=</t>
  </si>
  <si>
    <t xml:space="preserve">C=</t>
  </si>
  <si>
    <t xml:space="preserve">X1=</t>
  </si>
  <si>
    <t xml:space="preserve">B1=</t>
  </si>
  <si>
    <t xml:space="preserve">X2=</t>
  </si>
  <si>
    <t xml:space="preserve">B2=</t>
  </si>
  <si>
    <t xml:space="preserve">X3=</t>
  </si>
  <si>
    <t xml:space="preserve">B3=</t>
  </si>
  <si>
    <t xml:space="preserve">X4=</t>
  </si>
  <si>
    <t xml:space="preserve">B4=</t>
  </si>
  <si>
    <t xml:space="preserve">X5=</t>
  </si>
  <si>
    <t xml:space="preserve">B5=</t>
  </si>
  <si>
    <t xml:space="preserve">X6=</t>
  </si>
  <si>
    <t xml:space="preserve">B6=</t>
  </si>
  <si>
    <t xml:space="preserve">X7=</t>
  </si>
  <si>
    <t xml:space="preserve">B7=</t>
  </si>
  <si>
    <t xml:space="preserve">X8=</t>
  </si>
  <si>
    <t xml:space="preserve">B8=</t>
  </si>
  <si>
    <t xml:space="preserve">X9=</t>
  </si>
  <si>
    <t xml:space="preserve">B9=</t>
  </si>
  <si>
    <t xml:space="preserve">X10=</t>
  </si>
  <si>
    <t xml:space="preserve">B10=</t>
  </si>
  <si>
    <t xml:space="preserve">X11=</t>
  </si>
  <si>
    <t xml:space="preserve">B11=</t>
  </si>
  <si>
    <t xml:space="preserve">X12=</t>
  </si>
  <si>
    <t xml:space="preserve">B12=</t>
  </si>
  <si>
    <t xml:space="preserve">Результат сложения</t>
  </si>
  <si>
    <t xml:space="preserve">сf=</t>
  </si>
  <si>
    <t xml:space="preserve">pf=</t>
  </si>
  <si>
    <t xml:space="preserve">af=</t>
  </si>
  <si>
    <t xml:space="preserve">zf=</t>
  </si>
  <si>
    <t xml:space="preserve">'</t>
  </si>
  <si>
    <t xml:space="preserve">cf=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</si>
</sst>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</font>
    <font>
      <sz val="8"/>
      <name val="Adwaita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51" activeCellId="0" sqref="X51"/>
    </sheetView>
  </sheetViews>
  <sheetFormatPr defaultColWidth="10.08203125" defaultRowHeight="12.8" customHeight="true" zeroHeight="false" outlineLevelRow="0" outlineLevelCol="0"/>
  <cols>
    <col collapsed="false" customWidth="true" hidden="false" outlineLevel="0" max="1" min="1" style="0" width="4.99"/>
    <col collapsed="false" customWidth="true" hidden="false" outlineLevel="0" max="2" min="2" style="0" width="5.96"/>
    <col collapsed="false" customWidth="true" hidden="false" outlineLevel="0" max="3" min="3" style="0" width="4.02"/>
    <col collapsed="false" customWidth="true" hidden="false" outlineLevel="0" max="4" min="4" style="0" width="6.81"/>
    <col collapsed="false" customWidth="true" hidden="false" outlineLevel="0" max="5" min="5" style="0" width="5.11"/>
    <col collapsed="false" customWidth="true" hidden="false" outlineLevel="0" max="21" min="6" style="0" width="4.02"/>
    <col collapsed="false" customWidth="true" hidden="false" outlineLevel="0" max="22" min="22" style="0" width="18.13"/>
    <col collapsed="false" customWidth="true" hidden="false" outlineLevel="0" max="23" min="23" style="0" width="4.02"/>
    <col collapsed="false" customWidth="true" hidden="false" outlineLevel="0" max="38" min="24" style="0" width="5.84"/>
    <col collapsed="false" customWidth="true" hidden="false" outlineLevel="0" max="43" min="39" style="0" width="4.02"/>
    <col collapsed="false" customWidth="true" hidden="false" outlineLevel="0" max="44" min="44" style="0" width="26.9"/>
    <col collapsed="false" customWidth="true" hidden="false" outlineLevel="0" max="85" min="45" style="0" width="4.02"/>
  </cols>
  <sheetData>
    <row r="1" customFormat="false" ht="12.8" hidden="false" customHeight="false" outlineLevel="0" collapsed="false">
      <c r="A1" s="0" t="s">
        <v>0</v>
      </c>
      <c r="B1" s="0" t="n">
        <v>2404</v>
      </c>
      <c r="C1" s="0" t="s">
        <v>1</v>
      </c>
      <c r="D1" s="0" t="n">
        <v>26449</v>
      </c>
      <c r="F1" s="0" t="n">
        <v>1</v>
      </c>
      <c r="G1" s="0" t="n">
        <v>2</v>
      </c>
      <c r="H1" s="0" t="n">
        <v>3</v>
      </c>
      <c r="I1" s="0" t="n">
        <v>4</v>
      </c>
      <c r="J1" s="0" t="n">
        <v>5</v>
      </c>
      <c r="K1" s="0" t="n">
        <v>6</v>
      </c>
      <c r="L1" s="0" t="n">
        <v>7</v>
      </c>
      <c r="M1" s="0" t="n">
        <v>8</v>
      </c>
      <c r="N1" s="0" t="n">
        <v>9</v>
      </c>
      <c r="O1" s="0" t="n">
        <v>10</v>
      </c>
      <c r="P1" s="0" t="n">
        <v>11</v>
      </c>
      <c r="Q1" s="0" t="n">
        <v>12</v>
      </c>
      <c r="R1" s="0" t="n">
        <v>13</v>
      </c>
      <c r="S1" s="0" t="n">
        <v>14</v>
      </c>
      <c r="T1" s="0" t="n">
        <v>15</v>
      </c>
      <c r="U1" s="0" t="n">
        <v>16</v>
      </c>
      <c r="X1" s="0" t="n">
        <v>14</v>
      </c>
      <c r="Y1" s="0" t="n">
        <v>13</v>
      </c>
      <c r="Z1" s="0" t="n">
        <v>12</v>
      </c>
      <c r="AA1" s="0" t="n">
        <v>11</v>
      </c>
      <c r="AB1" s="0" t="n">
        <v>10</v>
      </c>
      <c r="AC1" s="0" t="n">
        <v>9</v>
      </c>
      <c r="AD1" s="0" t="n">
        <v>8</v>
      </c>
      <c r="AE1" s="0" t="n">
        <v>7</v>
      </c>
      <c r="AF1" s="0" t="n">
        <v>6</v>
      </c>
      <c r="AG1" s="0" t="n">
        <v>5</v>
      </c>
      <c r="AH1" s="0" t="n">
        <v>4</v>
      </c>
      <c r="AI1" s="0" t="n">
        <v>3</v>
      </c>
      <c r="AJ1" s="0" t="n">
        <v>2</v>
      </c>
      <c r="AK1" s="0" t="n">
        <v>1</v>
      </c>
      <c r="AL1" s="0" t="n">
        <v>0</v>
      </c>
    </row>
    <row r="2" customFormat="false" ht="12.8" hidden="false" customHeight="false" outlineLevel="0" collapsed="false">
      <c r="A2" s="0" t="s">
        <v>2</v>
      </c>
      <c r="B2" s="0" t="n">
        <f aca="false">B1</f>
        <v>2404</v>
      </c>
      <c r="E2" s="0" t="s">
        <v>3</v>
      </c>
      <c r="F2" s="0" t="str">
        <f aca="false">MID(_xlfn.BASE(IF($B2&gt;0,$B2,$B2+65536),2,16),F$1,1)</f>
        <v>0</v>
      </c>
      <c r="G2" s="0" t="str">
        <f aca="false">MID(_xlfn.BASE(IF($B2&gt;0,$B2,$B2+65536),2,16),G$1,1)</f>
        <v>0</v>
      </c>
      <c r="H2" s="0" t="str">
        <f aca="false">MID(_xlfn.BASE(IF($B2&gt;0,$B2,$B2+65536),2,16),H$1,1)</f>
        <v>0</v>
      </c>
      <c r="I2" s="0" t="str">
        <f aca="false">MID(_xlfn.BASE(IF($B2&gt;0,$B2,$B2+65536),2,16),I$1,1)</f>
        <v>0</v>
      </c>
      <c r="J2" s="0" t="str">
        <f aca="false">MID(_xlfn.BASE(IF($B2&gt;0,$B2,$B2+65536),2,16),J$1,1)</f>
        <v>1</v>
      </c>
      <c r="K2" s="0" t="str">
        <f aca="false">MID(_xlfn.BASE(IF($B2&gt;0,$B2,$B2+65536),2,16),K$1,1)</f>
        <v>0</v>
      </c>
      <c r="L2" s="0" t="str">
        <f aca="false">MID(_xlfn.BASE(IF($B2&gt;0,$B2,$B2+65536),2,16),L$1,1)</f>
        <v>0</v>
      </c>
      <c r="M2" s="0" t="str">
        <f aca="false">MID(_xlfn.BASE(IF($B2&gt;0,$B2,$B2+65536),2,16),M$1,1)</f>
        <v>1</v>
      </c>
      <c r="N2" s="0" t="str">
        <f aca="false">MID(_xlfn.BASE(IF($B2&gt;0,$B2,$B2+65536),2,16),N$1,1)</f>
        <v>0</v>
      </c>
      <c r="O2" s="0" t="str">
        <f aca="false">MID(_xlfn.BASE(IF($B2&gt;0,$B2,$B2+65536),2,16),O$1,1)</f>
        <v>1</v>
      </c>
      <c r="P2" s="0" t="str">
        <f aca="false">MID(_xlfn.BASE(IF($B2&gt;0,$B2,$B2+65536),2,16),P$1,1)</f>
        <v>1</v>
      </c>
      <c r="Q2" s="0" t="str">
        <f aca="false">MID(_xlfn.BASE(IF($B2&gt;0,$B2,$B2+65536),2,16),Q$1,1)</f>
        <v>0</v>
      </c>
      <c r="R2" s="0" t="str">
        <f aca="false">MID(_xlfn.BASE(IF($B2&gt;0,$B2,$B2+65536),2,16),R$1,1)</f>
        <v>0</v>
      </c>
      <c r="S2" s="0" t="str">
        <f aca="false">MID(_xlfn.BASE(IF($B2&gt;0,$B2,$B2+65536),2,16),S$1,1)</f>
        <v>1</v>
      </c>
      <c r="T2" s="0" t="str">
        <f aca="false">MID(_xlfn.BASE(IF($B2&gt;0,$B2,$B2+65536),2,16),T$1,1)</f>
        <v>0</v>
      </c>
      <c r="U2" s="0" t="str">
        <f aca="false">MID(_xlfn.BASE(IF($B2&gt;0,$B2,$B2+65536),2,16),U$1,1)</f>
        <v>0</v>
      </c>
    </row>
    <row r="3" customFormat="false" ht="12.8" hidden="false" customHeight="false" outlineLevel="0" collapsed="false">
      <c r="A3" s="0" t="s">
        <v>4</v>
      </c>
      <c r="B3" s="0" t="n">
        <f aca="false">D1</f>
        <v>26449</v>
      </c>
      <c r="E3" s="0" t="s">
        <v>5</v>
      </c>
      <c r="F3" s="0" t="str">
        <f aca="false">MID(_xlfn.BASE(IF($B3&gt;0,$B3,$B3+65536),2,16),F$1,1)</f>
        <v>0</v>
      </c>
      <c r="G3" s="0" t="str">
        <f aca="false">MID(_xlfn.BASE(IF($B3&gt;0,$B3,$B3+65536),2,16),G$1,1)</f>
        <v>1</v>
      </c>
      <c r="H3" s="0" t="str">
        <f aca="false">MID(_xlfn.BASE(IF($B3&gt;0,$B3,$B3+65536),2,16),H$1,1)</f>
        <v>1</v>
      </c>
      <c r="I3" s="0" t="str">
        <f aca="false">MID(_xlfn.BASE(IF($B3&gt;0,$B3,$B3+65536),2,16),I$1,1)</f>
        <v>0</v>
      </c>
      <c r="J3" s="0" t="str">
        <f aca="false">MID(_xlfn.BASE(IF($B3&gt;0,$B3,$B3+65536),2,16),J$1,1)</f>
        <v>0</v>
      </c>
      <c r="K3" s="0" t="str">
        <f aca="false">MID(_xlfn.BASE(IF($B3&gt;0,$B3,$B3+65536),2,16),K$1,1)</f>
        <v>1</v>
      </c>
      <c r="L3" s="0" t="str">
        <f aca="false">MID(_xlfn.BASE(IF($B3&gt;0,$B3,$B3+65536),2,16),L$1,1)</f>
        <v>1</v>
      </c>
      <c r="M3" s="0" t="str">
        <f aca="false">MID(_xlfn.BASE(IF($B3&gt;0,$B3,$B3+65536),2,16),M$1,1)</f>
        <v>1</v>
      </c>
      <c r="N3" s="0" t="str">
        <f aca="false">MID(_xlfn.BASE(IF($B3&gt;0,$B3,$B3+65536),2,16),N$1,1)</f>
        <v>0</v>
      </c>
      <c r="O3" s="0" t="str">
        <f aca="false">MID(_xlfn.BASE(IF($B3&gt;0,$B3,$B3+65536),2,16),O$1,1)</f>
        <v>1</v>
      </c>
      <c r="P3" s="0" t="str">
        <f aca="false">MID(_xlfn.BASE(IF($B3&gt;0,$B3,$B3+65536),2,16),P$1,1)</f>
        <v>0</v>
      </c>
      <c r="Q3" s="0" t="str">
        <f aca="false">MID(_xlfn.BASE(IF($B3&gt;0,$B3,$B3+65536),2,16),Q$1,1)</f>
        <v>1</v>
      </c>
      <c r="R3" s="0" t="str">
        <f aca="false">MID(_xlfn.BASE(IF($B3&gt;0,$B3,$B3+65536),2,16),R$1,1)</f>
        <v>0</v>
      </c>
      <c r="S3" s="0" t="str">
        <f aca="false">MID(_xlfn.BASE(IF($B3&gt;0,$B3,$B3+65536),2,16),S$1,1)</f>
        <v>0</v>
      </c>
      <c r="T3" s="0" t="str">
        <f aca="false">MID(_xlfn.BASE(IF($B3&gt;0,$B3,$B3+65536),2,16),T$1,1)</f>
        <v>0</v>
      </c>
      <c r="U3" s="0" t="str">
        <f aca="false">MID(_xlfn.BASE(IF($B3&gt;0,$B3,$B3+65536),2,16),U$1,1)</f>
        <v>1</v>
      </c>
    </row>
    <row r="4" customFormat="false" ht="12.8" hidden="false" customHeight="false" outlineLevel="0" collapsed="false">
      <c r="A4" s="0" t="s">
        <v>6</v>
      </c>
      <c r="B4" s="0" t="n">
        <f aca="false">B1+D1</f>
        <v>28853</v>
      </c>
      <c r="E4" s="0" t="s">
        <v>7</v>
      </c>
      <c r="F4" s="0" t="str">
        <f aca="false">MID(_xlfn.BASE(IF($B4&gt;0,$B4,$B4+65536),2,16),F$1,1)</f>
        <v>0</v>
      </c>
      <c r="G4" s="0" t="str">
        <f aca="false">MID(_xlfn.BASE(IF($B4&gt;0,$B4,$B4+65536),2,16),G$1,1)</f>
        <v>1</v>
      </c>
      <c r="H4" s="0" t="str">
        <f aca="false">MID(_xlfn.BASE(IF($B4&gt;0,$B4,$B4+65536),2,16),H$1,1)</f>
        <v>1</v>
      </c>
      <c r="I4" s="0" t="str">
        <f aca="false">MID(_xlfn.BASE(IF($B4&gt;0,$B4,$B4+65536),2,16),I$1,1)</f>
        <v>1</v>
      </c>
      <c r="J4" s="0" t="str">
        <f aca="false">MID(_xlfn.BASE(IF($B4&gt;0,$B4,$B4+65536),2,16),J$1,1)</f>
        <v>0</v>
      </c>
      <c r="K4" s="0" t="str">
        <f aca="false">MID(_xlfn.BASE(IF($B4&gt;0,$B4,$B4+65536),2,16),K$1,1)</f>
        <v>0</v>
      </c>
      <c r="L4" s="0" t="str">
        <f aca="false">MID(_xlfn.BASE(IF($B4&gt;0,$B4,$B4+65536),2,16),L$1,1)</f>
        <v>0</v>
      </c>
      <c r="M4" s="0" t="str">
        <f aca="false">MID(_xlfn.BASE(IF($B4&gt;0,$B4,$B4+65536),2,16),M$1,1)</f>
        <v>0</v>
      </c>
      <c r="N4" s="0" t="str">
        <f aca="false">MID(_xlfn.BASE(IF($B4&gt;0,$B4,$B4+65536),2,16),N$1,1)</f>
        <v>1</v>
      </c>
      <c r="O4" s="0" t="str">
        <f aca="false">MID(_xlfn.BASE(IF($B4&gt;0,$B4,$B4+65536),2,16),O$1,1)</f>
        <v>0</v>
      </c>
      <c r="P4" s="0" t="str">
        <f aca="false">MID(_xlfn.BASE(IF($B4&gt;0,$B4,$B4+65536),2,16),P$1,1)</f>
        <v>1</v>
      </c>
      <c r="Q4" s="0" t="str">
        <f aca="false">MID(_xlfn.BASE(IF($B4&gt;0,$B4,$B4+65536),2,16),Q$1,1)</f>
        <v>1</v>
      </c>
      <c r="R4" s="0" t="str">
        <f aca="false">MID(_xlfn.BASE(IF($B4&gt;0,$B4,$B4+65536),2,16),R$1,1)</f>
        <v>0</v>
      </c>
      <c r="S4" s="0" t="str">
        <f aca="false">MID(_xlfn.BASE(IF($B4&gt;0,$B4,$B4+65536),2,16),S$1,1)</f>
        <v>1</v>
      </c>
      <c r="T4" s="0" t="str">
        <f aca="false">MID(_xlfn.BASE(IF($B4&gt;0,$B4,$B4+65536),2,16),T$1,1)</f>
        <v>0</v>
      </c>
      <c r="U4" s="0" t="str">
        <f aca="false">MID(_xlfn.BASE(IF($B4&gt;0,$B4,$B4+65536),2,16),U$1,1)</f>
        <v>1</v>
      </c>
    </row>
    <row r="5" customFormat="false" ht="12.8" hidden="false" customHeight="false" outlineLevel="0" collapsed="false">
      <c r="A5" s="0" t="s">
        <v>8</v>
      </c>
      <c r="B5" s="0" t="n">
        <f aca="false">B1+D1+D1</f>
        <v>55302</v>
      </c>
      <c r="E5" s="0" t="s">
        <v>9</v>
      </c>
      <c r="F5" s="0" t="str">
        <f aca="false">MID(_xlfn.BASE(IF($B5&gt;0,$B5,$B5+65536),2,16),F$1,1)</f>
        <v>1</v>
      </c>
      <c r="G5" s="0" t="str">
        <f aca="false">MID(_xlfn.BASE(IF($B5&gt;0,$B5,$B5+65536),2,16),G$1,1)</f>
        <v>1</v>
      </c>
      <c r="H5" s="0" t="str">
        <f aca="false">MID(_xlfn.BASE(IF($B5&gt;0,$B5,$B5+65536),2,16),H$1,1)</f>
        <v>0</v>
      </c>
      <c r="I5" s="0" t="str">
        <f aca="false">MID(_xlfn.BASE(IF($B5&gt;0,$B5,$B5+65536),2,16),I$1,1)</f>
        <v>1</v>
      </c>
      <c r="J5" s="0" t="str">
        <f aca="false">MID(_xlfn.BASE(IF($B5&gt;0,$B5,$B5+65536),2,16),J$1,1)</f>
        <v>1</v>
      </c>
      <c r="K5" s="0" t="str">
        <f aca="false">MID(_xlfn.BASE(IF($B5&gt;0,$B5,$B5+65536),2,16),K$1,1)</f>
        <v>0</v>
      </c>
      <c r="L5" s="0" t="str">
        <f aca="false">MID(_xlfn.BASE(IF($B5&gt;0,$B5,$B5+65536),2,16),L$1,1)</f>
        <v>0</v>
      </c>
      <c r="M5" s="0" t="str">
        <f aca="false">MID(_xlfn.BASE(IF($B5&gt;0,$B5,$B5+65536),2,16),M$1,1)</f>
        <v>0</v>
      </c>
      <c r="N5" s="0" t="str">
        <f aca="false">MID(_xlfn.BASE(IF($B5&gt;0,$B5,$B5+65536),2,16),N$1,1)</f>
        <v>0</v>
      </c>
      <c r="O5" s="0" t="str">
        <f aca="false">MID(_xlfn.BASE(IF($B5&gt;0,$B5,$B5+65536),2,16),O$1,1)</f>
        <v>0</v>
      </c>
      <c r="P5" s="0" t="str">
        <f aca="false">MID(_xlfn.BASE(IF($B5&gt;0,$B5,$B5+65536),2,16),P$1,1)</f>
        <v>0</v>
      </c>
      <c r="Q5" s="0" t="str">
        <f aca="false">MID(_xlfn.BASE(IF($B5&gt;0,$B5,$B5+65536),2,16),Q$1,1)</f>
        <v>0</v>
      </c>
      <c r="R5" s="0" t="str">
        <f aca="false">MID(_xlfn.BASE(IF($B5&gt;0,$B5,$B5+65536),2,16),R$1,1)</f>
        <v>0</v>
      </c>
      <c r="S5" s="0" t="str">
        <f aca="false">MID(_xlfn.BASE(IF($B5&gt;0,$B5,$B5+65536),2,16),S$1,1)</f>
        <v>1</v>
      </c>
      <c r="T5" s="0" t="str">
        <f aca="false">MID(_xlfn.BASE(IF($B5&gt;0,$B5,$B5+65536),2,16),T$1,1)</f>
        <v>1</v>
      </c>
      <c r="U5" s="0" t="str">
        <f aca="false">MID(_xlfn.BASE(IF($B5&gt;0,$B5,$B5+65536),2,16),U$1,1)</f>
        <v>0</v>
      </c>
    </row>
    <row r="6" customFormat="false" ht="12.8" hidden="false" customHeight="false" outlineLevel="0" collapsed="false">
      <c r="A6" s="0" t="s">
        <v>10</v>
      </c>
      <c r="B6" s="0" t="n">
        <f aca="false">D1-B1</f>
        <v>24045</v>
      </c>
      <c r="E6" s="0" t="s">
        <v>11</v>
      </c>
      <c r="F6" s="0" t="str">
        <f aca="false">MID(_xlfn.BASE(IF($B6&gt;0,$B6,$B6+65536),2,16),F$1,1)</f>
        <v>0</v>
      </c>
      <c r="G6" s="0" t="str">
        <f aca="false">MID(_xlfn.BASE(IF($B6&gt;0,$B6,$B6+65536),2,16),G$1,1)</f>
        <v>1</v>
      </c>
      <c r="H6" s="0" t="str">
        <f aca="false">MID(_xlfn.BASE(IF($B6&gt;0,$B6,$B6+65536),2,16),H$1,1)</f>
        <v>0</v>
      </c>
      <c r="I6" s="0" t="str">
        <f aca="false">MID(_xlfn.BASE(IF($B6&gt;0,$B6,$B6+65536),2,16),I$1,1)</f>
        <v>1</v>
      </c>
      <c r="J6" s="0" t="str">
        <f aca="false">MID(_xlfn.BASE(IF($B6&gt;0,$B6,$B6+65536),2,16),J$1,1)</f>
        <v>1</v>
      </c>
      <c r="K6" s="0" t="str">
        <f aca="false">MID(_xlfn.BASE(IF($B6&gt;0,$B6,$B6+65536),2,16),K$1,1)</f>
        <v>1</v>
      </c>
      <c r="L6" s="0" t="str">
        <f aca="false">MID(_xlfn.BASE(IF($B6&gt;0,$B6,$B6+65536),2,16),L$1,1)</f>
        <v>0</v>
      </c>
      <c r="M6" s="0" t="str">
        <f aca="false">MID(_xlfn.BASE(IF($B6&gt;0,$B6,$B6+65536),2,16),M$1,1)</f>
        <v>1</v>
      </c>
      <c r="N6" s="0" t="str">
        <f aca="false">MID(_xlfn.BASE(IF($B6&gt;0,$B6,$B6+65536),2,16),N$1,1)</f>
        <v>1</v>
      </c>
      <c r="O6" s="0" t="str">
        <f aca="false">MID(_xlfn.BASE(IF($B6&gt;0,$B6,$B6+65536),2,16),O$1,1)</f>
        <v>1</v>
      </c>
      <c r="P6" s="0" t="str">
        <f aca="false">MID(_xlfn.BASE(IF($B6&gt;0,$B6,$B6+65536),2,16),P$1,1)</f>
        <v>1</v>
      </c>
      <c r="Q6" s="0" t="str">
        <f aca="false">MID(_xlfn.BASE(IF($B6&gt;0,$B6,$B6+65536),2,16),Q$1,1)</f>
        <v>0</v>
      </c>
      <c r="R6" s="0" t="str">
        <f aca="false">MID(_xlfn.BASE(IF($B6&gt;0,$B6,$B6+65536),2,16),R$1,1)</f>
        <v>1</v>
      </c>
      <c r="S6" s="0" t="str">
        <f aca="false">MID(_xlfn.BASE(IF($B6&gt;0,$B6,$B6+65536),2,16),S$1,1)</f>
        <v>1</v>
      </c>
      <c r="T6" s="0" t="str">
        <f aca="false">MID(_xlfn.BASE(IF($B6&gt;0,$B6,$B6+65536),2,16),T$1,1)</f>
        <v>0</v>
      </c>
      <c r="U6" s="0" t="str">
        <f aca="false">MID(_xlfn.BASE(IF($B6&gt;0,$B6,$B6+65536),2,16),U$1,1)</f>
        <v>1</v>
      </c>
    </row>
    <row r="7" customFormat="false" ht="12.8" hidden="false" customHeight="false" outlineLevel="0" collapsed="false">
      <c r="A7" s="0" t="s">
        <v>12</v>
      </c>
      <c r="B7" s="0" t="n">
        <f aca="false"> 65536-B5</f>
        <v>10234</v>
      </c>
      <c r="E7" s="0" t="s">
        <v>13</v>
      </c>
      <c r="F7" s="0" t="str">
        <f aca="false">MID(_xlfn.BASE(IF($B7&gt;0,$B7,$B7+65536),2,16),F$1,1)</f>
        <v>0</v>
      </c>
      <c r="G7" s="0" t="str">
        <f aca="false">MID(_xlfn.BASE(IF($B7&gt;0,$B7,$B7+65536),2,16),G$1,1)</f>
        <v>0</v>
      </c>
      <c r="H7" s="0" t="str">
        <f aca="false">MID(_xlfn.BASE(IF($B7&gt;0,$B7,$B7+65536),2,16),H$1,1)</f>
        <v>1</v>
      </c>
      <c r="I7" s="0" t="str">
        <f aca="false">MID(_xlfn.BASE(IF($B7&gt;0,$B7,$B7+65536),2,16),I$1,1)</f>
        <v>0</v>
      </c>
      <c r="J7" s="0" t="str">
        <f aca="false">MID(_xlfn.BASE(IF($B7&gt;0,$B7,$B7+65536),2,16),J$1,1)</f>
        <v>0</v>
      </c>
      <c r="K7" s="0" t="str">
        <f aca="false">MID(_xlfn.BASE(IF($B7&gt;0,$B7,$B7+65536),2,16),K$1,1)</f>
        <v>1</v>
      </c>
      <c r="L7" s="0" t="str">
        <f aca="false">MID(_xlfn.BASE(IF($B7&gt;0,$B7,$B7+65536),2,16),L$1,1)</f>
        <v>1</v>
      </c>
      <c r="M7" s="0" t="str">
        <f aca="false">MID(_xlfn.BASE(IF($B7&gt;0,$B7,$B7+65536),2,16),M$1,1)</f>
        <v>1</v>
      </c>
      <c r="N7" s="0" t="str">
        <f aca="false">MID(_xlfn.BASE(IF($B7&gt;0,$B7,$B7+65536),2,16),N$1,1)</f>
        <v>1</v>
      </c>
      <c r="O7" s="0" t="str">
        <f aca="false">MID(_xlfn.BASE(IF($B7&gt;0,$B7,$B7+65536),2,16),O$1,1)</f>
        <v>1</v>
      </c>
      <c r="P7" s="0" t="str">
        <f aca="false">MID(_xlfn.BASE(IF($B7&gt;0,$B7,$B7+65536),2,16),P$1,1)</f>
        <v>1</v>
      </c>
      <c r="Q7" s="0" t="str">
        <f aca="false">MID(_xlfn.BASE(IF($B7&gt;0,$B7,$B7+65536),2,16),Q$1,1)</f>
        <v>1</v>
      </c>
      <c r="R7" s="0" t="str">
        <f aca="false">MID(_xlfn.BASE(IF($B7&gt;0,$B7,$B7+65536),2,16),R$1,1)</f>
        <v>1</v>
      </c>
      <c r="S7" s="0" t="str">
        <f aca="false">MID(_xlfn.BASE(IF($B7&gt;0,$B7,$B7+65536),2,16),S$1,1)</f>
        <v>0</v>
      </c>
      <c r="T7" s="0" t="str">
        <f aca="false">MID(_xlfn.BASE(IF($B7&gt;0,$B7,$B7+65536),2,16),T$1,1)</f>
        <v>1</v>
      </c>
      <c r="U7" s="0" t="str">
        <f aca="false">MID(_xlfn.BASE(IF($B7&gt;0,$B7,$B7+65536),2,16),U$1,1)</f>
        <v>0</v>
      </c>
    </row>
    <row r="8" customFormat="false" ht="12.8" hidden="false" customHeight="false" outlineLevel="0" collapsed="false">
      <c r="A8" s="0" t="s">
        <v>14</v>
      </c>
      <c r="B8" s="0" t="n">
        <f aca="false">-B2</f>
        <v>-2404</v>
      </c>
      <c r="E8" s="0" t="s">
        <v>15</v>
      </c>
      <c r="F8" s="0" t="str">
        <f aca="false">MID(_xlfn.BASE(IF($B8&gt;0,$B8,$B8+65536),2,16),F$1,1)</f>
        <v>1</v>
      </c>
      <c r="G8" s="0" t="str">
        <f aca="false">MID(_xlfn.BASE(IF($B8&gt;0,$B8,$B8+65536),2,16),G$1,1)</f>
        <v>1</v>
      </c>
      <c r="H8" s="0" t="str">
        <f aca="false">MID(_xlfn.BASE(IF($B8&gt;0,$B8,$B8+65536),2,16),H$1,1)</f>
        <v>1</v>
      </c>
      <c r="I8" s="0" t="str">
        <f aca="false">MID(_xlfn.BASE(IF($B8&gt;0,$B8,$B8+65536),2,16),I$1,1)</f>
        <v>1</v>
      </c>
      <c r="J8" s="0" t="str">
        <f aca="false">MID(_xlfn.BASE(IF($B8&gt;0,$B8,$B8+65536),2,16),J$1,1)</f>
        <v>0</v>
      </c>
      <c r="K8" s="0" t="str">
        <f aca="false">MID(_xlfn.BASE(IF($B8&gt;0,$B8,$B8+65536),2,16),K$1,1)</f>
        <v>1</v>
      </c>
      <c r="L8" s="0" t="str">
        <f aca="false">MID(_xlfn.BASE(IF($B8&gt;0,$B8,$B8+65536),2,16),L$1,1)</f>
        <v>1</v>
      </c>
      <c r="M8" s="0" t="str">
        <f aca="false">MID(_xlfn.BASE(IF($B8&gt;0,$B8,$B8+65536),2,16),M$1,1)</f>
        <v>0</v>
      </c>
      <c r="N8" s="0" t="str">
        <f aca="false">MID(_xlfn.BASE(IF($B8&gt;0,$B8,$B8+65536),2,16),N$1,1)</f>
        <v>1</v>
      </c>
      <c r="O8" s="0" t="str">
        <f aca="false">MID(_xlfn.BASE(IF($B8&gt;0,$B8,$B8+65536),2,16),O$1,1)</f>
        <v>0</v>
      </c>
      <c r="P8" s="0" t="str">
        <f aca="false">MID(_xlfn.BASE(IF($B8&gt;0,$B8,$B8+65536),2,16),P$1,1)</f>
        <v>0</v>
      </c>
      <c r="Q8" s="0" t="str">
        <f aca="false">MID(_xlfn.BASE(IF($B8&gt;0,$B8,$B8+65536),2,16),Q$1,1)</f>
        <v>1</v>
      </c>
      <c r="R8" s="0" t="str">
        <f aca="false">MID(_xlfn.BASE(IF($B8&gt;0,$B8,$B8+65536),2,16),R$1,1)</f>
        <v>1</v>
      </c>
      <c r="S8" s="0" t="str">
        <f aca="false">MID(_xlfn.BASE(IF($B8&gt;0,$B8,$B8+65536),2,16),S$1,1)</f>
        <v>1</v>
      </c>
      <c r="T8" s="0" t="str">
        <f aca="false">MID(_xlfn.BASE(IF($B8&gt;0,$B8,$B8+65536),2,16),T$1,1)</f>
        <v>0</v>
      </c>
      <c r="U8" s="0" t="str">
        <f aca="false">MID(_xlfn.BASE(IF($B8&gt;0,$B8,$B8+65536),2,16),U$1,1)</f>
        <v>0</v>
      </c>
    </row>
    <row r="9" customFormat="false" ht="12.8" hidden="false" customHeight="false" outlineLevel="0" collapsed="false">
      <c r="A9" s="0" t="s">
        <v>16</v>
      </c>
      <c r="B9" s="0" t="n">
        <f aca="false">-B3</f>
        <v>-26449</v>
      </c>
      <c r="E9" s="0" t="s">
        <v>17</v>
      </c>
      <c r="F9" s="0" t="str">
        <f aca="false">MID(_xlfn.BASE(IF($B9&gt;0,$B9,$B9+65536),2,16),F$1,1)</f>
        <v>1</v>
      </c>
      <c r="G9" s="0" t="str">
        <f aca="false">MID(_xlfn.BASE(IF($B9&gt;0,$B9,$B9+65536),2,16),G$1,1)</f>
        <v>0</v>
      </c>
      <c r="H9" s="0" t="str">
        <f aca="false">MID(_xlfn.BASE(IF($B9&gt;0,$B9,$B9+65536),2,16),H$1,1)</f>
        <v>0</v>
      </c>
      <c r="I9" s="0" t="str">
        <f aca="false">MID(_xlfn.BASE(IF($B9&gt;0,$B9,$B9+65536),2,16),I$1,1)</f>
        <v>1</v>
      </c>
      <c r="J9" s="0" t="str">
        <f aca="false">MID(_xlfn.BASE(IF($B9&gt;0,$B9,$B9+65536),2,16),J$1,1)</f>
        <v>1</v>
      </c>
      <c r="K9" s="0" t="str">
        <f aca="false">MID(_xlfn.BASE(IF($B9&gt;0,$B9,$B9+65536),2,16),K$1,1)</f>
        <v>0</v>
      </c>
      <c r="L9" s="0" t="str">
        <f aca="false">MID(_xlfn.BASE(IF($B9&gt;0,$B9,$B9+65536),2,16),L$1,1)</f>
        <v>0</v>
      </c>
      <c r="M9" s="0" t="str">
        <f aca="false">MID(_xlfn.BASE(IF($B9&gt;0,$B9,$B9+65536),2,16),M$1,1)</f>
        <v>0</v>
      </c>
      <c r="N9" s="0" t="str">
        <f aca="false">MID(_xlfn.BASE(IF($B9&gt;0,$B9,$B9+65536),2,16),N$1,1)</f>
        <v>1</v>
      </c>
      <c r="O9" s="0" t="str">
        <f aca="false">MID(_xlfn.BASE(IF($B9&gt;0,$B9,$B9+65536),2,16),O$1,1)</f>
        <v>0</v>
      </c>
      <c r="P9" s="0" t="str">
        <f aca="false">MID(_xlfn.BASE(IF($B9&gt;0,$B9,$B9+65536),2,16),P$1,1)</f>
        <v>1</v>
      </c>
      <c r="Q9" s="0" t="str">
        <f aca="false">MID(_xlfn.BASE(IF($B9&gt;0,$B9,$B9+65536),2,16),Q$1,1)</f>
        <v>0</v>
      </c>
      <c r="R9" s="0" t="str">
        <f aca="false">MID(_xlfn.BASE(IF($B9&gt;0,$B9,$B9+65536),2,16),R$1,1)</f>
        <v>1</v>
      </c>
      <c r="S9" s="0" t="str">
        <f aca="false">MID(_xlfn.BASE(IF($B9&gt;0,$B9,$B9+65536),2,16),S$1,1)</f>
        <v>1</v>
      </c>
      <c r="T9" s="0" t="str">
        <f aca="false">MID(_xlfn.BASE(IF($B9&gt;0,$B9,$B9+65536),2,16),T$1,1)</f>
        <v>1</v>
      </c>
      <c r="U9" s="0" t="str">
        <f aca="false">MID(_xlfn.BASE(IF($B9&gt;0,$B9,$B9+65536),2,16),U$1,1)</f>
        <v>1</v>
      </c>
    </row>
    <row r="10" customFormat="false" ht="12.8" hidden="false" customHeight="false" outlineLevel="0" collapsed="false">
      <c r="A10" s="0" t="s">
        <v>18</v>
      </c>
      <c r="B10" s="0" t="n">
        <f aca="false">-B4</f>
        <v>-28853</v>
      </c>
      <c r="E10" s="0" t="s">
        <v>19</v>
      </c>
      <c r="F10" s="0" t="str">
        <f aca="false">MID(_xlfn.BASE(IF($B10&gt;0,$B10,$B10+65536),2,16),F$1,1)</f>
        <v>1</v>
      </c>
      <c r="G10" s="0" t="str">
        <f aca="false">MID(_xlfn.BASE(IF($B10&gt;0,$B10,$B10+65536),2,16),G$1,1)</f>
        <v>0</v>
      </c>
      <c r="H10" s="0" t="str">
        <f aca="false">MID(_xlfn.BASE(IF($B10&gt;0,$B10,$B10+65536),2,16),H$1,1)</f>
        <v>0</v>
      </c>
      <c r="I10" s="0" t="str">
        <f aca="false">MID(_xlfn.BASE(IF($B10&gt;0,$B10,$B10+65536),2,16),I$1,1)</f>
        <v>0</v>
      </c>
      <c r="J10" s="0" t="str">
        <f aca="false">MID(_xlfn.BASE(IF($B10&gt;0,$B10,$B10+65536),2,16),J$1,1)</f>
        <v>1</v>
      </c>
      <c r="K10" s="0" t="str">
        <f aca="false">MID(_xlfn.BASE(IF($B10&gt;0,$B10,$B10+65536),2,16),K$1,1)</f>
        <v>1</v>
      </c>
      <c r="L10" s="0" t="str">
        <f aca="false">MID(_xlfn.BASE(IF($B10&gt;0,$B10,$B10+65536),2,16),L$1,1)</f>
        <v>1</v>
      </c>
      <c r="M10" s="0" t="str">
        <f aca="false">MID(_xlfn.BASE(IF($B10&gt;0,$B10,$B10+65536),2,16),M$1,1)</f>
        <v>1</v>
      </c>
      <c r="N10" s="0" t="str">
        <f aca="false">MID(_xlfn.BASE(IF($B10&gt;0,$B10,$B10+65536),2,16),N$1,1)</f>
        <v>0</v>
      </c>
      <c r="O10" s="0" t="str">
        <f aca="false">MID(_xlfn.BASE(IF($B10&gt;0,$B10,$B10+65536),2,16),O$1,1)</f>
        <v>1</v>
      </c>
      <c r="P10" s="0" t="str">
        <f aca="false">MID(_xlfn.BASE(IF($B10&gt;0,$B10,$B10+65536),2,16),P$1,1)</f>
        <v>0</v>
      </c>
      <c r="Q10" s="0" t="str">
        <f aca="false">MID(_xlfn.BASE(IF($B10&gt;0,$B10,$B10+65536),2,16),Q$1,1)</f>
        <v>0</v>
      </c>
      <c r="R10" s="0" t="str">
        <f aca="false">MID(_xlfn.BASE(IF($B10&gt;0,$B10,$B10+65536),2,16),R$1,1)</f>
        <v>1</v>
      </c>
      <c r="S10" s="0" t="str">
        <f aca="false">MID(_xlfn.BASE(IF($B10&gt;0,$B10,$B10+65536),2,16),S$1,1)</f>
        <v>0</v>
      </c>
      <c r="T10" s="0" t="str">
        <f aca="false">MID(_xlfn.BASE(IF($B10&gt;0,$B10,$B10+65536),2,16),T$1,1)</f>
        <v>1</v>
      </c>
      <c r="U10" s="0" t="str">
        <f aca="false">MID(_xlfn.BASE(IF($B10&gt;0,$B10,$B10+65536),2,16),U$1,1)</f>
        <v>1</v>
      </c>
    </row>
    <row r="11" customFormat="false" ht="12.8" hidden="false" customHeight="false" outlineLevel="0" collapsed="false">
      <c r="A11" s="0" t="s">
        <v>20</v>
      </c>
      <c r="B11" s="0" t="n">
        <f aca="false">-B5</f>
        <v>-55302</v>
      </c>
      <c r="E11" s="0" t="s">
        <v>21</v>
      </c>
      <c r="F11" s="0" t="str">
        <f aca="false">MID(_xlfn.BASE(IF($B11&gt;0,$B11,$B11+65536),2,16),F$1,1)</f>
        <v>0</v>
      </c>
      <c r="G11" s="0" t="str">
        <f aca="false">MID(_xlfn.BASE(IF($B11&gt;0,$B11,$B11+65536),2,16),G$1,1)</f>
        <v>0</v>
      </c>
      <c r="H11" s="0" t="str">
        <f aca="false">MID(_xlfn.BASE(IF($B11&gt;0,$B11,$B11+65536),2,16),H$1,1)</f>
        <v>1</v>
      </c>
      <c r="I11" s="0" t="str">
        <f aca="false">MID(_xlfn.BASE(IF($B11&gt;0,$B11,$B11+65536),2,16),I$1,1)</f>
        <v>0</v>
      </c>
      <c r="J11" s="0" t="str">
        <f aca="false">MID(_xlfn.BASE(IF($B11&gt;0,$B11,$B11+65536),2,16),J$1,1)</f>
        <v>0</v>
      </c>
      <c r="K11" s="0" t="str">
        <f aca="false">MID(_xlfn.BASE(IF($B11&gt;0,$B11,$B11+65536),2,16),K$1,1)</f>
        <v>1</v>
      </c>
      <c r="L11" s="0" t="str">
        <f aca="false">MID(_xlfn.BASE(IF($B11&gt;0,$B11,$B11+65536),2,16),L$1,1)</f>
        <v>1</v>
      </c>
      <c r="M11" s="0" t="str">
        <f aca="false">MID(_xlfn.BASE(IF($B11&gt;0,$B11,$B11+65536),2,16),M$1,1)</f>
        <v>1</v>
      </c>
      <c r="N11" s="0" t="str">
        <f aca="false">MID(_xlfn.BASE(IF($B11&gt;0,$B11,$B11+65536),2,16),N$1,1)</f>
        <v>1</v>
      </c>
      <c r="O11" s="0" t="str">
        <f aca="false">MID(_xlfn.BASE(IF($B11&gt;0,$B11,$B11+65536),2,16),O$1,1)</f>
        <v>1</v>
      </c>
      <c r="P11" s="0" t="str">
        <f aca="false">MID(_xlfn.BASE(IF($B11&gt;0,$B11,$B11+65536),2,16),P$1,1)</f>
        <v>1</v>
      </c>
      <c r="Q11" s="0" t="str">
        <f aca="false">MID(_xlfn.BASE(IF($B11&gt;0,$B11,$B11+65536),2,16),Q$1,1)</f>
        <v>1</v>
      </c>
      <c r="R11" s="0" t="str">
        <f aca="false">MID(_xlfn.BASE(IF($B11&gt;0,$B11,$B11+65536),2,16),R$1,1)</f>
        <v>1</v>
      </c>
      <c r="S11" s="0" t="str">
        <f aca="false">MID(_xlfn.BASE(IF($B11&gt;0,$B11,$B11+65536),2,16),S$1,1)</f>
        <v>0</v>
      </c>
      <c r="T11" s="0" t="str">
        <f aca="false">MID(_xlfn.BASE(IF($B11&gt;0,$B11,$B11+65536),2,16),T$1,1)</f>
        <v>1</v>
      </c>
      <c r="U11" s="0" t="str">
        <f aca="false">MID(_xlfn.BASE(IF($B11&gt;0,$B11,$B11+65536),2,16),U$1,1)</f>
        <v>0</v>
      </c>
    </row>
    <row r="12" customFormat="false" ht="15" hidden="false" customHeight="false" outlineLevel="0" collapsed="false">
      <c r="A12" s="0" t="s">
        <v>22</v>
      </c>
      <c r="B12" s="0" t="n">
        <f aca="false">-B6</f>
        <v>-24045</v>
      </c>
      <c r="E12" s="0" t="s">
        <v>23</v>
      </c>
      <c r="F12" s="0" t="str">
        <f aca="false">MID(_xlfn.BASE(IF($B12&gt;0,$B12,$B12+65536),2,16),F$1,1)</f>
        <v>1</v>
      </c>
      <c r="G12" s="0" t="str">
        <f aca="false">MID(_xlfn.BASE(IF($B12&gt;0,$B12,$B12+65536),2,16),G$1,1)</f>
        <v>0</v>
      </c>
      <c r="H12" s="0" t="str">
        <f aca="false">MID(_xlfn.BASE(IF($B12&gt;0,$B12,$B12+65536),2,16),H$1,1)</f>
        <v>1</v>
      </c>
      <c r="I12" s="0" t="str">
        <f aca="false">MID(_xlfn.BASE(IF($B12&gt;0,$B12,$B12+65536),2,16),I$1,1)</f>
        <v>0</v>
      </c>
      <c r="J12" s="0" t="str">
        <f aca="false">MID(_xlfn.BASE(IF($B12&gt;0,$B12,$B12+65536),2,16),J$1,1)</f>
        <v>0</v>
      </c>
      <c r="K12" s="0" t="str">
        <f aca="false">MID(_xlfn.BASE(IF($B12&gt;0,$B12,$B12+65536),2,16),K$1,1)</f>
        <v>0</v>
      </c>
      <c r="L12" s="0" t="str">
        <f aca="false">MID(_xlfn.BASE(IF($B12&gt;0,$B12,$B12+65536),2,16),L$1,1)</f>
        <v>1</v>
      </c>
      <c r="M12" s="0" t="str">
        <f aca="false">MID(_xlfn.BASE(IF($B12&gt;0,$B12,$B12+65536),2,16),M$1,1)</f>
        <v>0</v>
      </c>
      <c r="N12" s="0" t="str">
        <f aca="false">MID(_xlfn.BASE(IF($B12&gt;0,$B12,$B12+65536),2,16),N$1,1)</f>
        <v>0</v>
      </c>
      <c r="O12" s="0" t="str">
        <f aca="false">MID(_xlfn.BASE(IF($B12&gt;0,$B12,$B12+65536),2,16),O$1,1)</f>
        <v>0</v>
      </c>
      <c r="P12" s="0" t="str">
        <f aca="false">MID(_xlfn.BASE(IF($B12&gt;0,$B12,$B12+65536),2,16),P$1,1)</f>
        <v>0</v>
      </c>
      <c r="Q12" s="0" t="str">
        <f aca="false">MID(_xlfn.BASE(IF($B12&gt;0,$B12,$B12+65536),2,16),Q$1,1)</f>
        <v>1</v>
      </c>
      <c r="R12" s="0" t="str">
        <f aca="false">MID(_xlfn.BASE(IF($B12&gt;0,$B12,$B12+65536),2,16),R$1,1)</f>
        <v>0</v>
      </c>
      <c r="S12" s="0" t="str">
        <f aca="false">MID(_xlfn.BASE(IF($B12&gt;0,$B12,$B12+65536),2,16),S$1,1)</f>
        <v>0</v>
      </c>
      <c r="T12" s="0" t="str">
        <f aca="false">MID(_xlfn.BASE(IF($B12&gt;0,$B12,$B12+65536),2,16),T$1,1)</f>
        <v>1</v>
      </c>
      <c r="U12" s="0" t="str">
        <f aca="false">MID(_xlfn.BASE(IF($B12&gt;0,$B12,$B12+65536),2,16),U$1,1)</f>
        <v>1</v>
      </c>
      <c r="AR12" s="1"/>
    </row>
    <row r="13" customFormat="false" ht="12.8" hidden="false" customHeight="false" outlineLevel="0" collapsed="false">
      <c r="A13" s="0" t="s">
        <v>24</v>
      </c>
      <c r="B13" s="0" t="n">
        <f aca="false">-B7</f>
        <v>-10234</v>
      </c>
      <c r="E13" s="0" t="s">
        <v>25</v>
      </c>
      <c r="F13" s="0" t="str">
        <f aca="false">MID(_xlfn.BASE(IF($B13&gt;0,$B13,$B13+65536),2,16),F$1,1)</f>
        <v>1</v>
      </c>
      <c r="G13" s="0" t="str">
        <f aca="false">MID(_xlfn.BASE(IF($B13&gt;0,$B13,$B13+65536),2,16),G$1,1)</f>
        <v>1</v>
      </c>
      <c r="H13" s="0" t="str">
        <f aca="false">MID(_xlfn.BASE(IF($B13&gt;0,$B13,$B13+65536),2,16),H$1,1)</f>
        <v>0</v>
      </c>
      <c r="I13" s="0" t="str">
        <f aca="false">MID(_xlfn.BASE(IF($B13&gt;0,$B13,$B13+65536),2,16),I$1,1)</f>
        <v>1</v>
      </c>
      <c r="J13" s="0" t="str">
        <f aca="false">MID(_xlfn.BASE(IF($B13&gt;0,$B13,$B13+65536),2,16),J$1,1)</f>
        <v>1</v>
      </c>
      <c r="K13" s="0" t="str">
        <f aca="false">MID(_xlfn.BASE(IF($B13&gt;0,$B13,$B13+65536),2,16),K$1,1)</f>
        <v>0</v>
      </c>
      <c r="L13" s="0" t="str">
        <f aca="false">MID(_xlfn.BASE(IF($B13&gt;0,$B13,$B13+65536),2,16),L$1,1)</f>
        <v>0</v>
      </c>
      <c r="M13" s="0" t="str">
        <f aca="false">MID(_xlfn.BASE(IF($B13&gt;0,$B13,$B13+65536),2,16),M$1,1)</f>
        <v>0</v>
      </c>
      <c r="N13" s="0" t="str">
        <f aca="false">MID(_xlfn.BASE(IF($B13&gt;0,$B13,$B13+65536),2,16),N$1,1)</f>
        <v>0</v>
      </c>
      <c r="O13" s="0" t="str">
        <f aca="false">MID(_xlfn.BASE(IF($B13&gt;0,$B13,$B13+65536),2,16),O$1,1)</f>
        <v>0</v>
      </c>
      <c r="P13" s="0" t="str">
        <f aca="false">MID(_xlfn.BASE(IF($B13&gt;0,$B13,$B13+65536),2,16),P$1,1)</f>
        <v>0</v>
      </c>
      <c r="Q13" s="0" t="str">
        <f aca="false">MID(_xlfn.BASE(IF($B13&gt;0,$B13,$B13+65536),2,16),Q$1,1)</f>
        <v>0</v>
      </c>
      <c r="R13" s="0" t="str">
        <f aca="false">MID(_xlfn.BASE(IF($B13&gt;0,$B13,$B13+65536),2,16),R$1,1)</f>
        <v>0</v>
      </c>
      <c r="S13" s="0" t="str">
        <f aca="false">MID(_xlfn.BASE(IF($B13&gt;0,$B13,$B13+65536),2,16),S$1,1)</f>
        <v>1</v>
      </c>
      <c r="T13" s="0" t="str">
        <f aca="false">MID(_xlfn.BASE(IF($B13&gt;0,$B13,$B13+65536),2,16),T$1,1)</f>
        <v>1</v>
      </c>
      <c r="U13" s="0" t="str">
        <f aca="false">MID(_xlfn.BASE(IF($B13&gt;0,$B13,$B13+65536),2,16),U$1,1)</f>
        <v>0</v>
      </c>
    </row>
    <row r="15" customFormat="false" ht="12.8" hidden="false" customHeight="false" outlineLevel="0" collapsed="false">
      <c r="V15" s="0" t="s">
        <v>26</v>
      </c>
      <c r="X15" s="2" t="str">
        <f aca="false">CONCATENATE("При сложении ", IF(F17+F18=2, "двух отрицательных", ""), IF(F17+F18=0, "двух положительных", ""), IF(F17+F18=1, "положительного и отрицательного", ""), " слагаемых получено ", IF(F19=0, "положи", "отрица"), "тельное число Результат операции ", IF(MOD(F16+E16,2)=0, "верный и корректный,", "НЕ верный и НЕ корректный,"), IF(V19=B2+B3, "", " НЕ"), " совпадает с суммой десятичных эквивалентов")</f>
        <v>При сложении двух положительных слагаемых получено положительное число Результат операции верный и корректный, совпадает с суммой десятичных эквивалентов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customFormat="false" ht="12.8" hidden="false" customHeight="false" outlineLevel="0" collapsed="false">
      <c r="E16" s="0" t="n">
        <f aca="false">IF(F16+F17+F18&gt;1,1,0)</f>
        <v>0</v>
      </c>
      <c r="F16" s="0" t="n">
        <f aca="false">IF(G16+G17+G18&gt;1,1,0)</f>
        <v>0</v>
      </c>
      <c r="G16" s="0" t="n">
        <f aca="false">IF(H16+H17+H18&gt;1,1,0)</f>
        <v>0</v>
      </c>
      <c r="H16" s="0" t="n">
        <f aca="false">IF(I16+I17+I18&gt;1,1,0)</f>
        <v>0</v>
      </c>
      <c r="I16" s="0" t="n">
        <f aca="false">IF(J16+J17+J18&gt;1,1,0)</f>
        <v>1</v>
      </c>
      <c r="J16" s="0" t="n">
        <f aca="false">IF(K16+K17+K18&gt;1,1,0)</f>
        <v>1</v>
      </c>
      <c r="K16" s="0" t="n">
        <f aca="false">IF(L16+L17+L18&gt;1,1,0)</f>
        <v>1</v>
      </c>
      <c r="L16" s="0" t="n">
        <f aca="false">IF(M16+M17+M18&gt;1,1,0)</f>
        <v>1</v>
      </c>
      <c r="M16" s="0" t="n">
        <f aca="false">IF(N16+N17+N18&gt;1,1,0)</f>
        <v>0</v>
      </c>
      <c r="N16" s="0" t="n">
        <f aca="false">IF(O16+O17+O18&gt;1,1,0)</f>
        <v>1</v>
      </c>
      <c r="O16" s="0" t="n">
        <f aca="false">IF(P16+P17+P18&gt;1,1,0)</f>
        <v>0</v>
      </c>
      <c r="P16" s="0" t="n">
        <f aca="false">IF(Q16+Q17+Q18&gt;1,1,0)</f>
        <v>0</v>
      </c>
      <c r="Q16" s="0" t="n">
        <f aca="false">IF(R16+R17+R18&gt;1,1,0)</f>
        <v>0</v>
      </c>
      <c r="R16" s="0" t="n">
        <f aca="false">IF(S16+S17+S18&gt;1,1,0)</f>
        <v>0</v>
      </c>
      <c r="S16" s="0" t="n">
        <f aca="false">IF(T16+T17+T18&gt;1,1,0)</f>
        <v>0</v>
      </c>
      <c r="T16" s="0" t="n">
        <f aca="false">IF(U16+U17+U18&gt;1,1,0)</f>
        <v>0</v>
      </c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customFormat="false" ht="12.8" hidden="false" customHeight="false" outlineLevel="0" collapsed="false">
      <c r="E17" s="0" t="s">
        <v>3</v>
      </c>
      <c r="F17" s="0" t="str">
        <f aca="false">F2</f>
        <v>0</v>
      </c>
      <c r="G17" s="0" t="str">
        <f aca="false">G2</f>
        <v>0</v>
      </c>
      <c r="H17" s="0" t="str">
        <f aca="false">H2</f>
        <v>0</v>
      </c>
      <c r="I17" s="0" t="str">
        <f aca="false">I2</f>
        <v>0</v>
      </c>
      <c r="J17" s="0" t="str">
        <f aca="false">J2</f>
        <v>1</v>
      </c>
      <c r="K17" s="0" t="str">
        <f aca="false">K2</f>
        <v>0</v>
      </c>
      <c r="L17" s="0" t="str">
        <f aca="false">L2</f>
        <v>0</v>
      </c>
      <c r="M17" s="0" t="str">
        <f aca="false">M2</f>
        <v>1</v>
      </c>
      <c r="N17" s="0" t="str">
        <f aca="false">N2</f>
        <v>0</v>
      </c>
      <c r="O17" s="0" t="str">
        <f aca="false">O2</f>
        <v>1</v>
      </c>
      <c r="P17" s="0" t="str">
        <f aca="false">P2</f>
        <v>1</v>
      </c>
      <c r="Q17" s="0" t="str">
        <f aca="false">Q2</f>
        <v>0</v>
      </c>
      <c r="R17" s="0" t="str">
        <f aca="false">R2</f>
        <v>0</v>
      </c>
      <c r="S17" s="0" t="str">
        <f aca="false">S2</f>
        <v>1</v>
      </c>
      <c r="T17" s="0" t="str">
        <f aca="false">T2</f>
        <v>0</v>
      </c>
      <c r="U17" s="0" t="str">
        <f aca="false">U2</f>
        <v>0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customFormat="false" ht="12.8" hidden="false" customHeight="false" outlineLevel="0" collapsed="false">
      <c r="E18" s="0" t="s">
        <v>5</v>
      </c>
      <c r="F18" s="0" t="str">
        <f aca="false">F3</f>
        <v>0</v>
      </c>
      <c r="G18" s="0" t="str">
        <f aca="false">G3</f>
        <v>1</v>
      </c>
      <c r="H18" s="0" t="str">
        <f aca="false">H3</f>
        <v>1</v>
      </c>
      <c r="I18" s="0" t="str">
        <f aca="false">I3</f>
        <v>0</v>
      </c>
      <c r="J18" s="0" t="str">
        <f aca="false">J3</f>
        <v>0</v>
      </c>
      <c r="K18" s="0" t="str">
        <f aca="false">K3</f>
        <v>1</v>
      </c>
      <c r="L18" s="0" t="str">
        <f aca="false">L3</f>
        <v>1</v>
      </c>
      <c r="M18" s="0" t="str">
        <f aca="false">M3</f>
        <v>1</v>
      </c>
      <c r="N18" s="0" t="str">
        <f aca="false">N3</f>
        <v>0</v>
      </c>
      <c r="O18" s="0" t="str">
        <f aca="false">O3</f>
        <v>1</v>
      </c>
      <c r="P18" s="0" t="str">
        <f aca="false">P3</f>
        <v>0</v>
      </c>
      <c r="Q18" s="0" t="str">
        <f aca="false">Q3</f>
        <v>1</v>
      </c>
      <c r="R18" s="0" t="str">
        <f aca="false">R3</f>
        <v>0</v>
      </c>
      <c r="S18" s="0" t="str">
        <f aca="false">S3</f>
        <v>0</v>
      </c>
      <c r="T18" s="0" t="str">
        <f aca="false">T3</f>
        <v>0</v>
      </c>
      <c r="U18" s="0" t="str">
        <f aca="false">U3</f>
        <v>1</v>
      </c>
    </row>
    <row r="19" customFormat="false" ht="12.8" hidden="false" customHeight="false" outlineLevel="0" collapsed="false">
      <c r="F19" s="0" t="n">
        <f aca="false">MOD(F16+F17+F18,2)</f>
        <v>0</v>
      </c>
      <c r="G19" s="0" t="n">
        <f aca="false">MOD(G16+G17+G18,2)</f>
        <v>1</v>
      </c>
      <c r="H19" s="0" t="n">
        <f aca="false">MOD(H16+H17+H18,2)</f>
        <v>1</v>
      </c>
      <c r="I19" s="0" t="n">
        <f aca="false">MOD(I16+I17+I18,2)</f>
        <v>1</v>
      </c>
      <c r="J19" s="0" t="n">
        <f aca="false">MOD(J16+J17+J18,2)</f>
        <v>0</v>
      </c>
      <c r="K19" s="0" t="n">
        <f aca="false">MOD(K16+K17+K18,2)</f>
        <v>0</v>
      </c>
      <c r="L19" s="0" t="n">
        <f aca="false">MOD(L16+L17+L18,2)</f>
        <v>0</v>
      </c>
      <c r="M19" s="0" t="n">
        <f aca="false">MOD(M16+M17+M18,2)</f>
        <v>0</v>
      </c>
      <c r="N19" s="0" t="n">
        <f aca="false">MOD(N16+N17+N18,2)</f>
        <v>1</v>
      </c>
      <c r="O19" s="0" t="n">
        <f aca="false">MOD(O16+O17+O18,2)</f>
        <v>0</v>
      </c>
      <c r="P19" s="0" t="n">
        <f aca="false">MOD(P16+P17+P18,2)</f>
        <v>1</v>
      </c>
      <c r="Q19" s="0" t="n">
        <f aca="false">MOD(Q16+Q17+Q18,2)</f>
        <v>1</v>
      </c>
      <c r="R19" s="0" t="n">
        <f aca="false">MOD(R16+R17+R18,2)</f>
        <v>0</v>
      </c>
      <c r="S19" s="0" t="n">
        <f aca="false">MOD(S16+S17+S18,2)</f>
        <v>1</v>
      </c>
      <c r="T19" s="0" t="n">
        <f aca="false">MOD(T16+T17+T18,2)</f>
        <v>0</v>
      </c>
      <c r="U19" s="0" t="n">
        <f aca="false">MOD(U16+U17+U18,2)</f>
        <v>1</v>
      </c>
      <c r="V19" s="0" t="n">
        <f aca="false">SUM(X19:AL19)*W19</f>
        <v>28853</v>
      </c>
      <c r="W19" s="0" t="n">
        <f aca="false">IF(F19=1,-1,1)</f>
        <v>1</v>
      </c>
      <c r="X19" s="0" t="n">
        <f aca="false">G19*2^X1</f>
        <v>16384</v>
      </c>
      <c r="Y19" s="0" t="n">
        <f aca="false">H19*2^Y1</f>
        <v>8192</v>
      </c>
      <c r="Z19" s="0" t="n">
        <f aca="false">I19*2^Z1</f>
        <v>4096</v>
      </c>
      <c r="AA19" s="0" t="n">
        <f aca="false">J19*2^AA1</f>
        <v>0</v>
      </c>
      <c r="AB19" s="0" t="n">
        <f aca="false">K19*2^AB1</f>
        <v>0</v>
      </c>
      <c r="AC19" s="0" t="n">
        <f aca="false">L19*2^AC1</f>
        <v>0</v>
      </c>
      <c r="AD19" s="0" t="n">
        <f aca="false">M19*2^AD1</f>
        <v>0</v>
      </c>
      <c r="AE19" s="0" t="n">
        <f aca="false">N19*2^AE1</f>
        <v>128</v>
      </c>
      <c r="AF19" s="0" t="n">
        <f aca="false">O19*2^AF1</f>
        <v>0</v>
      </c>
      <c r="AG19" s="0" t="n">
        <f aca="false">P19*2^AG1</f>
        <v>32</v>
      </c>
      <c r="AH19" s="0" t="n">
        <f aca="false">Q19*2^AH1</f>
        <v>16</v>
      </c>
      <c r="AI19" s="0" t="n">
        <f aca="false">R19*2^AI1</f>
        <v>0</v>
      </c>
      <c r="AJ19" s="0" t="n">
        <f aca="false">S19*2^AJ1</f>
        <v>4</v>
      </c>
      <c r="AK19" s="0" t="n">
        <f aca="false">T19*2^AK1</f>
        <v>0</v>
      </c>
      <c r="AL19" s="0" t="n">
        <f aca="false">U19*2^AL1</f>
        <v>1</v>
      </c>
    </row>
    <row r="20" customFormat="false" ht="12.8" hidden="false" customHeight="false" outlineLevel="0" collapsed="false">
      <c r="F20" s="0" t="s">
        <v>27</v>
      </c>
      <c r="G20" s="0" t="n">
        <f aca="false">E16</f>
        <v>0</v>
      </c>
      <c r="I20" s="0" t="s">
        <v>28</v>
      </c>
      <c r="J20" s="0" t="n">
        <f aca="false">MOD(SUM(O45:V45) - 1, 2)</f>
        <v>1</v>
      </c>
      <c r="L20" s="0" t="s">
        <v>29</v>
      </c>
      <c r="M20" s="0" t="n">
        <f aca="false">Q16</f>
        <v>0</v>
      </c>
      <c r="O20" s="0" t="s">
        <v>30</v>
      </c>
      <c r="P20" s="0" t="n">
        <f aca="false">IF(SUM(F19:U19)=0,1,0)</f>
        <v>0</v>
      </c>
      <c r="U20" s="0" t="s">
        <v>31</v>
      </c>
    </row>
    <row r="21" customFormat="false" ht="12.8" hidden="false" customHeight="false" outlineLevel="0" collapsed="false">
      <c r="X21" s="2" t="str">
        <f aca="false">CONCATENATE("При сложении ", IF(F23+F24=2, "двух отрицательных", ""), IF(F23+F24=0, "двух положительных", ""), IF(F23+F24=1, "положительного и отрицательного", ""), " слагаемых получено ", IF(F25=0, "положи", "отрица"), "тельное число Результат операции ", IF(MOD(F22+E22,2)=0, "верный и корректный,", "НЕ верный и НЕ корректный,"), IF(V25=B3+B4, "", " НЕ"), " совпадает с суммой десятичных эквивалентов")</f>
        <v>При сложении двух положительных слагаемых получено отрицательное число Результат операции НЕ верный и НЕ корректный, НЕ совпадает с суммой десятичных эквивалентов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customFormat="false" ht="12.8" hidden="false" customHeight="false" outlineLevel="0" collapsed="false">
      <c r="E22" s="0" t="n">
        <f aca="false">IF(F22+F23+F24&gt;1,1,0)</f>
        <v>0</v>
      </c>
      <c r="F22" s="0" t="n">
        <f aca="false">IF(G22+G23+G24&gt;1,1,0)</f>
        <v>1</v>
      </c>
      <c r="G22" s="0" t="n">
        <f aca="false">IF(H22+H23+H24&gt;1,1,0)</f>
        <v>1</v>
      </c>
      <c r="H22" s="0" t="n">
        <f aca="false">IF(I22+I23+I24&gt;1,1,0)</f>
        <v>0</v>
      </c>
      <c r="I22" s="0" t="n">
        <f aca="false">IF(J22+J23+J24&gt;1,1,0)</f>
        <v>0</v>
      </c>
      <c r="J22" s="0" t="n">
        <f aca="false">IF(K22+K23+K24&gt;1,1,0)</f>
        <v>1</v>
      </c>
      <c r="K22" s="0" t="n">
        <f aca="false">IF(L22+L23+L24&gt;1,1,0)</f>
        <v>1</v>
      </c>
      <c r="L22" s="0" t="n">
        <f aca="false">IF(M22+M23+M24&gt;1,1,0)</f>
        <v>1</v>
      </c>
      <c r="M22" s="0" t="n">
        <f aca="false">IF(N22+N23+N24&gt;1,1,0)</f>
        <v>1</v>
      </c>
      <c r="N22" s="0" t="n">
        <f aca="false">IF(O22+O23+O24&gt;1,1,0)</f>
        <v>1</v>
      </c>
      <c r="O22" s="0" t="n">
        <f aca="false">IF(P22+P23+P24&gt;1,1,0)</f>
        <v>1</v>
      </c>
      <c r="P22" s="0" t="n">
        <f aca="false">IF(Q22+Q23+Q24&gt;1,1,0)</f>
        <v>1</v>
      </c>
      <c r="Q22" s="0" t="n">
        <f aca="false">IF(R22+R23+R24&gt;1,1,0)</f>
        <v>0</v>
      </c>
      <c r="R22" s="0" t="n">
        <f aca="false">IF(S22+S23+S24&gt;1,1,0)</f>
        <v>0</v>
      </c>
      <c r="S22" s="0" t="n">
        <f aca="false">IF(T22+T23+T24&gt;1,1,0)</f>
        <v>0</v>
      </c>
      <c r="T22" s="0" t="n">
        <f aca="false">IF(U22+U23+U24&gt;1,1,0)</f>
        <v>1</v>
      </c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customFormat="false" ht="12.8" hidden="false" customHeight="false" outlineLevel="0" collapsed="false">
      <c r="E23" s="0" t="s">
        <v>5</v>
      </c>
      <c r="F23" s="0" t="str">
        <f aca="false">F3</f>
        <v>0</v>
      </c>
      <c r="G23" s="0" t="str">
        <f aca="false">G3</f>
        <v>1</v>
      </c>
      <c r="H23" s="0" t="str">
        <f aca="false">H3</f>
        <v>1</v>
      </c>
      <c r="I23" s="0" t="str">
        <f aca="false">I3</f>
        <v>0</v>
      </c>
      <c r="J23" s="0" t="str">
        <f aca="false">J3</f>
        <v>0</v>
      </c>
      <c r="K23" s="0" t="str">
        <f aca="false">K3</f>
        <v>1</v>
      </c>
      <c r="L23" s="0" t="str">
        <f aca="false">L3</f>
        <v>1</v>
      </c>
      <c r="M23" s="0" t="str">
        <f aca="false">M3</f>
        <v>1</v>
      </c>
      <c r="N23" s="0" t="str">
        <f aca="false">N3</f>
        <v>0</v>
      </c>
      <c r="O23" s="0" t="str">
        <f aca="false">O3</f>
        <v>1</v>
      </c>
      <c r="P23" s="0" t="str">
        <f aca="false">P3</f>
        <v>0</v>
      </c>
      <c r="Q23" s="0" t="str">
        <f aca="false">Q3</f>
        <v>1</v>
      </c>
      <c r="R23" s="0" t="str">
        <f aca="false">R3</f>
        <v>0</v>
      </c>
      <c r="S23" s="0" t="str">
        <f aca="false">S3</f>
        <v>0</v>
      </c>
      <c r="T23" s="0" t="str">
        <f aca="false">T3</f>
        <v>0</v>
      </c>
      <c r="U23" s="0" t="str">
        <f aca="false">U3</f>
        <v>1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customFormat="false" ht="12.8" hidden="false" customHeight="false" outlineLevel="0" collapsed="false">
      <c r="E24" s="0" t="s">
        <v>7</v>
      </c>
      <c r="F24" s="0" t="str">
        <f aca="false">F4</f>
        <v>0</v>
      </c>
      <c r="G24" s="0" t="str">
        <f aca="false">G4</f>
        <v>1</v>
      </c>
      <c r="H24" s="0" t="str">
        <f aca="false">H4</f>
        <v>1</v>
      </c>
      <c r="I24" s="0" t="str">
        <f aca="false">I4</f>
        <v>1</v>
      </c>
      <c r="J24" s="0" t="str">
        <f aca="false">J4</f>
        <v>0</v>
      </c>
      <c r="K24" s="0" t="str">
        <f aca="false">K4</f>
        <v>0</v>
      </c>
      <c r="L24" s="0" t="str">
        <f aca="false">L4</f>
        <v>0</v>
      </c>
      <c r="M24" s="0" t="str">
        <f aca="false">M4</f>
        <v>0</v>
      </c>
      <c r="N24" s="0" t="str">
        <f aca="false">N4</f>
        <v>1</v>
      </c>
      <c r="O24" s="0" t="str">
        <f aca="false">O4</f>
        <v>0</v>
      </c>
      <c r="P24" s="0" t="str">
        <f aca="false">P4</f>
        <v>1</v>
      </c>
      <c r="Q24" s="0" t="str">
        <f aca="false">Q4</f>
        <v>1</v>
      </c>
      <c r="R24" s="0" t="str">
        <f aca="false">R4</f>
        <v>0</v>
      </c>
      <c r="S24" s="0" t="str">
        <f aca="false">S4</f>
        <v>1</v>
      </c>
      <c r="T24" s="0" t="str">
        <f aca="false">T4</f>
        <v>0</v>
      </c>
      <c r="U24" s="0" t="str">
        <f aca="false">U4</f>
        <v>1</v>
      </c>
    </row>
    <row r="25" customFormat="false" ht="12.8" hidden="false" customHeight="false" outlineLevel="0" collapsed="false">
      <c r="F25" s="0" t="n">
        <f aca="false">MOD(F22+F23+F24,2)</f>
        <v>1</v>
      </c>
      <c r="G25" s="0" t="n">
        <f aca="false">MOD(G22+G23+G24,2)</f>
        <v>1</v>
      </c>
      <c r="H25" s="0" t="n">
        <f aca="false">MOD(H22+H23+H24,2)</f>
        <v>0</v>
      </c>
      <c r="I25" s="0" t="n">
        <f aca="false">MOD(I22+I23+I24,2)</f>
        <v>1</v>
      </c>
      <c r="J25" s="0" t="n">
        <f aca="false">MOD(J22+J23+J24,2)</f>
        <v>1</v>
      </c>
      <c r="K25" s="0" t="n">
        <f aca="false">MOD(K22+K23+K24,2)</f>
        <v>0</v>
      </c>
      <c r="L25" s="0" t="n">
        <f aca="false">MOD(L22+L23+L24,2)</f>
        <v>0</v>
      </c>
      <c r="M25" s="0" t="n">
        <f aca="false">MOD(M22+M23+M24,2)</f>
        <v>0</v>
      </c>
      <c r="N25" s="0" t="n">
        <f aca="false">MOD(N22+N23+N24,2)</f>
        <v>0</v>
      </c>
      <c r="O25" s="0" t="n">
        <f aca="false">MOD(O22+O23+O24,2)</f>
        <v>0</v>
      </c>
      <c r="P25" s="0" t="n">
        <f aca="false">MOD(P22+P23+P24,2)</f>
        <v>0</v>
      </c>
      <c r="Q25" s="0" t="n">
        <f aca="false">MOD(Q22+Q23+Q24,2)</f>
        <v>0</v>
      </c>
      <c r="R25" s="0" t="n">
        <f aca="false">MOD(R22+R23+R24,2)</f>
        <v>0</v>
      </c>
      <c r="S25" s="0" t="n">
        <f aca="false">MOD(S22+S23+S24,2)</f>
        <v>1</v>
      </c>
      <c r="T25" s="0" t="n">
        <f aca="false">MOD(T22+T23+T24,2)</f>
        <v>1</v>
      </c>
      <c r="U25" s="0" t="n">
        <f aca="false">MOD(U22+U23+U24,2)</f>
        <v>0</v>
      </c>
      <c r="V25" s="0" t="n">
        <f aca="false">SUM(X25:AL25)*W25</f>
        <v>-22534</v>
      </c>
      <c r="W25" s="0" t="n">
        <f aca="false">IF(F25=1,-1,1)</f>
        <v>-1</v>
      </c>
      <c r="X25" s="0" t="n">
        <f aca="false">G25*2^X$1</f>
        <v>16384</v>
      </c>
      <c r="Y25" s="0" t="n">
        <f aca="false">H25*2^Y$1</f>
        <v>0</v>
      </c>
      <c r="Z25" s="0" t="n">
        <f aca="false">I25*2^Z$1</f>
        <v>4096</v>
      </c>
      <c r="AA25" s="0" t="n">
        <f aca="false">J25*2^AA$1</f>
        <v>2048</v>
      </c>
      <c r="AB25" s="0" t="n">
        <f aca="false">K25*2^AB$1</f>
        <v>0</v>
      </c>
      <c r="AC25" s="0" t="n">
        <f aca="false">L25*2^AC$1</f>
        <v>0</v>
      </c>
      <c r="AD25" s="0" t="n">
        <f aca="false">M25*2^AD$1</f>
        <v>0</v>
      </c>
      <c r="AE25" s="0" t="n">
        <f aca="false">N25*2^AE$1</f>
        <v>0</v>
      </c>
      <c r="AF25" s="0" t="n">
        <f aca="false">O25*2^AF$1</f>
        <v>0</v>
      </c>
      <c r="AG25" s="0" t="n">
        <f aca="false">P25*2^AG$1</f>
        <v>0</v>
      </c>
      <c r="AH25" s="0" t="n">
        <f aca="false">Q25*2^AH$1</f>
        <v>0</v>
      </c>
      <c r="AI25" s="0" t="n">
        <f aca="false">R25*2^AI$1</f>
        <v>0</v>
      </c>
      <c r="AJ25" s="0" t="n">
        <f aca="false">S25*2^AJ$1</f>
        <v>4</v>
      </c>
      <c r="AK25" s="0" t="n">
        <f aca="false">T25*2^AK$1</f>
        <v>2</v>
      </c>
      <c r="AL25" s="0" t="n">
        <f aca="false">U25*2^AL$1</f>
        <v>0</v>
      </c>
    </row>
    <row r="26" customFormat="false" ht="12.8" hidden="false" customHeight="false" outlineLevel="0" collapsed="false">
      <c r="F26" s="0" t="s">
        <v>32</v>
      </c>
      <c r="G26" s="0" t="n">
        <f aca="false">E22</f>
        <v>0</v>
      </c>
      <c r="I26" s="0" t="s">
        <v>28</v>
      </c>
      <c r="J26" s="0" t="n">
        <f aca="false">MOD(SUM(O51:V51) - 1, 2)</f>
        <v>1</v>
      </c>
      <c r="L26" s="0" t="s">
        <v>29</v>
      </c>
      <c r="M26" s="0" t="n">
        <f aca="false">Q22</f>
        <v>0</v>
      </c>
      <c r="O26" s="0" t="s">
        <v>30</v>
      </c>
      <c r="P26" s="0" t="n">
        <f aca="false">IF(SUM(F25:U25)=0,1,0)</f>
        <v>0</v>
      </c>
    </row>
    <row r="27" customFormat="false" ht="12.8" hidden="false" customHeight="false" outlineLevel="0" collapsed="false">
      <c r="X27" s="2" t="str">
        <f aca="false">CONCATENATE("При сложении ", IF(F29+F30=2, "двух отрицательных", ""), IF(F29+F30=0, "двух положительных", ""), IF(F29+F30=1, "положительного и отрицательного", ""), " слагаемых получено ", IF(F31=0, "положи", "отрица"), "тельное число Результат операции ", IF(MOD(F28+E28,2)=0, "верный и корректный,", "НЕ верный и НЕ корректный,"), IF(V31=B3+B8, "", " НЕ"), " совпадает с суммой десятичных эквивалентов")</f>
        <v>При сложении положительного и отрицательного слагаемых получено положительное число Результат операции верный и корректный, совпадает с суммой десятичных эквивалентов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customFormat="false" ht="12.8" hidden="false" customHeight="false" outlineLevel="0" collapsed="false">
      <c r="E28" s="0" t="n">
        <f aca="false">IF(F28+F29+F30&gt;1,1,0)</f>
        <v>1</v>
      </c>
      <c r="F28" s="0" t="n">
        <f aca="false">IF(G28+G29+G30&gt;1,1,0)</f>
        <v>1</v>
      </c>
      <c r="G28" s="0" t="n">
        <f aca="false">IF(H28+H29+H30&gt;1,1,0)</f>
        <v>1</v>
      </c>
      <c r="H28" s="0" t="n">
        <f aca="false">IF(I28+I29+I30&gt;1,1,0)</f>
        <v>0</v>
      </c>
      <c r="I28" s="0" t="n">
        <f aca="false">IF(J28+J29+J30&gt;1,1,0)</f>
        <v>0</v>
      </c>
      <c r="J28" s="0" t="n">
        <f aca="false">IF(K28+K29+K30&gt;1,1,0)</f>
        <v>1</v>
      </c>
      <c r="K28" s="0" t="n">
        <f aca="false">IF(L28+L29+L30&gt;1,1,0)</f>
        <v>1</v>
      </c>
      <c r="L28" s="0" t="n">
        <f aca="false">IF(M28+M29+M30&gt;1,1,0)</f>
        <v>0</v>
      </c>
      <c r="M28" s="0" t="n">
        <f aca="false">IF(N28+N29+N30&gt;1,1,0)</f>
        <v>0</v>
      </c>
      <c r="N28" s="0" t="n">
        <f aca="false">IF(O28+O29+O30&gt;1,1,0)</f>
        <v>0</v>
      </c>
      <c r="O28" s="0" t="n">
        <f aca="false">IF(P28+P29+P30&gt;1,1,0)</f>
        <v>0</v>
      </c>
      <c r="P28" s="0" t="n">
        <f aca="false">IF(Q28+Q29+Q30&gt;1,1,0)</f>
        <v>1</v>
      </c>
      <c r="Q28" s="0" t="n">
        <f aca="false">IF(R28+R29+R30&gt;1,1,0)</f>
        <v>0</v>
      </c>
      <c r="R28" s="0" t="n">
        <f aca="false">IF(S28+S29+S30&gt;1,1,0)</f>
        <v>0</v>
      </c>
      <c r="S28" s="0" t="n">
        <f aca="false">IF(T28+T29+T30&gt;1,1,0)</f>
        <v>0</v>
      </c>
      <c r="T28" s="0" t="n">
        <f aca="false">IF(U28+U29+U30&gt;1,1,0)</f>
        <v>0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customFormat="false" ht="12.8" hidden="false" customHeight="false" outlineLevel="0" collapsed="false">
      <c r="E29" s="0" t="s">
        <v>5</v>
      </c>
      <c r="F29" s="0" t="str">
        <f aca="false">F3</f>
        <v>0</v>
      </c>
      <c r="G29" s="0" t="str">
        <f aca="false">G3</f>
        <v>1</v>
      </c>
      <c r="H29" s="0" t="str">
        <f aca="false">H3</f>
        <v>1</v>
      </c>
      <c r="I29" s="0" t="str">
        <f aca="false">I3</f>
        <v>0</v>
      </c>
      <c r="J29" s="0" t="str">
        <f aca="false">J3</f>
        <v>0</v>
      </c>
      <c r="K29" s="0" t="str">
        <f aca="false">K3</f>
        <v>1</v>
      </c>
      <c r="L29" s="0" t="str">
        <f aca="false">L3</f>
        <v>1</v>
      </c>
      <c r="M29" s="0" t="str">
        <f aca="false">M3</f>
        <v>1</v>
      </c>
      <c r="N29" s="0" t="str">
        <f aca="false">N3</f>
        <v>0</v>
      </c>
      <c r="O29" s="0" t="str">
        <f aca="false">O3</f>
        <v>1</v>
      </c>
      <c r="P29" s="0" t="str">
        <f aca="false">P3</f>
        <v>0</v>
      </c>
      <c r="Q29" s="0" t="str">
        <f aca="false">Q3</f>
        <v>1</v>
      </c>
      <c r="R29" s="0" t="str">
        <f aca="false">R3</f>
        <v>0</v>
      </c>
      <c r="S29" s="0" t="str">
        <f aca="false">S3</f>
        <v>0</v>
      </c>
      <c r="T29" s="0" t="str">
        <f aca="false">T3</f>
        <v>0</v>
      </c>
      <c r="U29" s="0" t="str">
        <f aca="false">U3</f>
        <v>1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customFormat="false" ht="12.8" hidden="false" customHeight="false" outlineLevel="0" collapsed="false">
      <c r="E30" s="0" t="s">
        <v>15</v>
      </c>
      <c r="F30" s="0" t="str">
        <f aca="false">F8</f>
        <v>1</v>
      </c>
      <c r="G30" s="0" t="str">
        <f aca="false">G8</f>
        <v>1</v>
      </c>
      <c r="H30" s="0" t="str">
        <f aca="false">H8</f>
        <v>1</v>
      </c>
      <c r="I30" s="0" t="str">
        <f aca="false">I8</f>
        <v>1</v>
      </c>
      <c r="J30" s="0" t="str">
        <f aca="false">J8</f>
        <v>0</v>
      </c>
      <c r="K30" s="0" t="str">
        <f aca="false">K8</f>
        <v>1</v>
      </c>
      <c r="L30" s="0" t="str">
        <f aca="false">L8</f>
        <v>1</v>
      </c>
      <c r="M30" s="0" t="str">
        <f aca="false">M8</f>
        <v>0</v>
      </c>
      <c r="N30" s="0" t="str">
        <f aca="false">N8</f>
        <v>1</v>
      </c>
      <c r="O30" s="0" t="str">
        <f aca="false">O8</f>
        <v>0</v>
      </c>
      <c r="P30" s="0" t="str">
        <f aca="false">P8</f>
        <v>0</v>
      </c>
      <c r="Q30" s="0" t="str">
        <f aca="false">Q8</f>
        <v>1</v>
      </c>
      <c r="R30" s="0" t="str">
        <f aca="false">R8</f>
        <v>1</v>
      </c>
      <c r="S30" s="0" t="str">
        <f aca="false">S8</f>
        <v>1</v>
      </c>
      <c r="T30" s="0" t="str">
        <f aca="false">T8</f>
        <v>0</v>
      </c>
      <c r="U30" s="0" t="str">
        <f aca="false">U8</f>
        <v>0</v>
      </c>
    </row>
    <row r="31" customFormat="false" ht="12.8" hidden="false" customHeight="false" outlineLevel="0" collapsed="false">
      <c r="F31" s="0" t="n">
        <f aca="false">MOD(F29+F28+F30,2)</f>
        <v>0</v>
      </c>
      <c r="G31" s="0" t="n">
        <f aca="false">MOD(G29+G28+G30,2)</f>
        <v>1</v>
      </c>
      <c r="H31" s="0" t="n">
        <f aca="false">MOD(H29+H28+H30,2)</f>
        <v>0</v>
      </c>
      <c r="I31" s="0" t="n">
        <f aca="false">MOD(I29+I28+I30,2)</f>
        <v>1</v>
      </c>
      <c r="J31" s="0" t="n">
        <f aca="false">MOD(J29+J28+J30,2)</f>
        <v>1</v>
      </c>
      <c r="K31" s="0" t="n">
        <f aca="false">MOD(K29+K28+K30,2)</f>
        <v>1</v>
      </c>
      <c r="L31" s="0" t="n">
        <f aca="false">MOD(L29+L28+L30,2)</f>
        <v>0</v>
      </c>
      <c r="M31" s="0" t="n">
        <f aca="false">MOD(M29+M28+M30,2)</f>
        <v>1</v>
      </c>
      <c r="N31" s="0" t="n">
        <f aca="false">MOD(N29+N28+N30,2)</f>
        <v>1</v>
      </c>
      <c r="O31" s="0" t="n">
        <f aca="false">MOD(O29+O28+O30,2)</f>
        <v>1</v>
      </c>
      <c r="P31" s="0" t="n">
        <f aca="false">MOD(P29+P28+P30,2)</f>
        <v>1</v>
      </c>
      <c r="Q31" s="0" t="n">
        <f aca="false">MOD(Q29+Q28+Q30,2)</f>
        <v>0</v>
      </c>
      <c r="R31" s="0" t="n">
        <f aca="false">MOD(R29+R28+R30,2)</f>
        <v>1</v>
      </c>
      <c r="S31" s="0" t="n">
        <f aca="false">MOD(S29+S28+S30,2)</f>
        <v>1</v>
      </c>
      <c r="T31" s="0" t="n">
        <f aca="false">MOD(T29+T28+T30,2)</f>
        <v>0</v>
      </c>
      <c r="U31" s="0" t="n">
        <f aca="false">MOD(U29+U28+U30,2)</f>
        <v>1</v>
      </c>
      <c r="V31" s="0" t="n">
        <f aca="false">SUM(X31:AL31)*W31</f>
        <v>24045</v>
      </c>
      <c r="W31" s="0" t="n">
        <f aca="false">IF(F31=1,-1,1)</f>
        <v>1</v>
      </c>
      <c r="X31" s="0" t="n">
        <f aca="false">G31*2^X$1</f>
        <v>16384</v>
      </c>
      <c r="Y31" s="0" t="n">
        <f aca="false">H31*2^Y$1</f>
        <v>0</v>
      </c>
      <c r="Z31" s="0" t="n">
        <f aca="false">I31*2^Z$1</f>
        <v>4096</v>
      </c>
      <c r="AA31" s="0" t="n">
        <f aca="false">J31*2^AA$1</f>
        <v>2048</v>
      </c>
      <c r="AB31" s="0" t="n">
        <f aca="false">K31*2^AB$1</f>
        <v>1024</v>
      </c>
      <c r="AC31" s="0" t="n">
        <f aca="false">L31*2^AC$1</f>
        <v>0</v>
      </c>
      <c r="AD31" s="0" t="n">
        <f aca="false">M31*2^AD$1</f>
        <v>256</v>
      </c>
      <c r="AE31" s="0" t="n">
        <f aca="false">N31*2^AE$1</f>
        <v>128</v>
      </c>
      <c r="AF31" s="0" t="n">
        <f aca="false">O31*2^AF$1</f>
        <v>64</v>
      </c>
      <c r="AG31" s="0" t="n">
        <f aca="false">P31*2^AG$1</f>
        <v>32</v>
      </c>
      <c r="AH31" s="0" t="n">
        <f aca="false">Q31*2^AH$1</f>
        <v>0</v>
      </c>
      <c r="AI31" s="0" t="n">
        <f aca="false">R31*2^AI$1</f>
        <v>8</v>
      </c>
      <c r="AJ31" s="0" t="n">
        <f aca="false">S31*2^AJ$1</f>
        <v>4</v>
      </c>
      <c r="AK31" s="0" t="n">
        <f aca="false">T31*2^AK$1</f>
        <v>0</v>
      </c>
      <c r="AL31" s="0" t="n">
        <f aca="false">U31*2^AL$1</f>
        <v>1</v>
      </c>
    </row>
    <row r="32" customFormat="false" ht="12.8" hidden="false" customHeight="false" outlineLevel="0" collapsed="false">
      <c r="F32" s="0" t="s">
        <v>32</v>
      </c>
      <c r="G32" s="0" t="n">
        <f aca="false">E28</f>
        <v>1</v>
      </c>
      <c r="I32" s="0" t="s">
        <v>28</v>
      </c>
      <c r="J32" s="0" t="n">
        <f aca="false">MOD(SUM(O57:V57) - 1, 2)</f>
        <v>1</v>
      </c>
      <c r="L32" s="0" t="s">
        <v>29</v>
      </c>
      <c r="M32" s="0" t="n">
        <f aca="false">Q28</f>
        <v>0</v>
      </c>
      <c r="O32" s="0" t="s">
        <v>30</v>
      </c>
      <c r="P32" s="0" t="n">
        <f aca="false">IF(SUM(F31:U31)=0,1,0)</f>
        <v>0</v>
      </c>
    </row>
    <row r="33" customFormat="false" ht="12.8" hidden="false" customHeight="false" outlineLevel="0" collapsed="false">
      <c r="X33" s="2" t="str">
        <f aca="false">CONCATENATE("При сложении ", IF(F35+F36=2, "двух отрицательных", ""), IF(F35+F36=0, "двух положительных", ""), IF(F35+F36=1, "положительного и отрицательного", ""), " слагаемых получено ", IF(F37=0, "положи", "отрица"), "тельное число Результат операции ", IF(MOD(F34+E34,2)=0, "верный и корректный,", "НЕ верный и НЕ корректный,"), IF(V37=B8+B9, "", " НЕ"), " совпадает с суммой десятичных эквивалентов")</f>
        <v>При сложении двух отрицательных слагаемых получено отрицательное число Результат операции верный и корректный, НЕ совпадает с суммой десятичных эквивалентов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customFormat="false" ht="12.8" hidden="false" customHeight="false" outlineLevel="0" collapsed="false">
      <c r="E34" s="0" t="n">
        <f aca="false">IF(F34+F35+F36&gt;1,1,0)</f>
        <v>1</v>
      </c>
      <c r="F34" s="0" t="n">
        <f aca="false">IF(G34+G35+G36&gt;1,1,0)</f>
        <v>1</v>
      </c>
      <c r="G34" s="0" t="n">
        <f aca="false">IF(H34+H35+H36&gt;1,1,0)</f>
        <v>1</v>
      </c>
      <c r="H34" s="0" t="n">
        <f aca="false">IF(I34+I35+I36&gt;1,1,0)</f>
        <v>1</v>
      </c>
      <c r="I34" s="0" t="n">
        <f aca="false">IF(J34+J35+J36&gt;1,1,0)</f>
        <v>0</v>
      </c>
      <c r="J34" s="0" t="n">
        <f aca="false">IF(K34+K35+K36&gt;1,1,0)</f>
        <v>0</v>
      </c>
      <c r="K34" s="0" t="n">
        <f aca="false">IF(L34+L35+L36&gt;1,1,0)</f>
        <v>0</v>
      </c>
      <c r="L34" s="0" t="n">
        <f aca="false">IF(M34+M35+M36&gt;1,1,0)</f>
        <v>0</v>
      </c>
      <c r="M34" s="0" t="n">
        <f aca="false">IF(N34+N35+N36&gt;1,1,0)</f>
        <v>1</v>
      </c>
      <c r="N34" s="0" t="n">
        <f aca="false">IF(O34+O35+O36&gt;1,1,0)</f>
        <v>0</v>
      </c>
      <c r="O34" s="0" t="n">
        <f aca="false">IF(P34+P35+P36&gt;1,1,0)</f>
        <v>1</v>
      </c>
      <c r="P34" s="0" t="n">
        <f aca="false">IF(Q34+Q35+Q36&gt;1,1,0)</f>
        <v>1</v>
      </c>
      <c r="Q34" s="0" t="n">
        <f aca="false">IF(R34+R35+R36&gt;1,1,0)</f>
        <v>1</v>
      </c>
      <c r="R34" s="0" t="n">
        <f aca="false">IF(S34+S35+S36&gt;1,1,0)</f>
        <v>1</v>
      </c>
      <c r="S34" s="0" t="n">
        <f aca="false">IF(T34+T35+T36&gt;1,1,0)</f>
        <v>0</v>
      </c>
      <c r="T34" s="0" t="n">
        <f aca="false">IF(U34+U35+U36&gt;1,1,0)</f>
        <v>0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customFormat="false" ht="12.8" hidden="false" customHeight="false" outlineLevel="0" collapsed="false">
      <c r="E35" s="0" t="s">
        <v>15</v>
      </c>
      <c r="F35" s="0" t="str">
        <f aca="false">F8</f>
        <v>1</v>
      </c>
      <c r="G35" s="0" t="str">
        <f aca="false">G8</f>
        <v>1</v>
      </c>
      <c r="H35" s="0" t="str">
        <f aca="false">H8</f>
        <v>1</v>
      </c>
      <c r="I35" s="0" t="str">
        <f aca="false">I8</f>
        <v>1</v>
      </c>
      <c r="J35" s="0" t="str">
        <f aca="false">J8</f>
        <v>0</v>
      </c>
      <c r="K35" s="0" t="str">
        <f aca="false">K8</f>
        <v>1</v>
      </c>
      <c r="L35" s="0" t="str">
        <f aca="false">L8</f>
        <v>1</v>
      </c>
      <c r="M35" s="0" t="str">
        <f aca="false">M8</f>
        <v>0</v>
      </c>
      <c r="N35" s="0" t="str">
        <f aca="false">N8</f>
        <v>1</v>
      </c>
      <c r="O35" s="0" t="str">
        <f aca="false">O8</f>
        <v>0</v>
      </c>
      <c r="P35" s="0" t="str">
        <f aca="false">P8</f>
        <v>0</v>
      </c>
      <c r="Q35" s="0" t="str">
        <f aca="false">Q8</f>
        <v>1</v>
      </c>
      <c r="R35" s="0" t="str">
        <f aca="false">R8</f>
        <v>1</v>
      </c>
      <c r="S35" s="0" t="str">
        <f aca="false">S8</f>
        <v>1</v>
      </c>
      <c r="T35" s="0" t="str">
        <f aca="false">T8</f>
        <v>0</v>
      </c>
      <c r="U35" s="0" t="str">
        <f aca="false">U8</f>
        <v>0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customFormat="false" ht="12.8" hidden="false" customHeight="false" outlineLevel="0" collapsed="false">
      <c r="E36" s="0" t="s">
        <v>17</v>
      </c>
      <c r="F36" s="0" t="str">
        <f aca="false">F9</f>
        <v>1</v>
      </c>
      <c r="G36" s="0" t="str">
        <f aca="false">G9</f>
        <v>0</v>
      </c>
      <c r="H36" s="0" t="str">
        <f aca="false">H9</f>
        <v>0</v>
      </c>
      <c r="I36" s="0" t="str">
        <f aca="false">I9</f>
        <v>1</v>
      </c>
      <c r="J36" s="0" t="str">
        <f aca="false">J9</f>
        <v>1</v>
      </c>
      <c r="K36" s="0" t="str">
        <f aca="false">K9</f>
        <v>0</v>
      </c>
      <c r="L36" s="0" t="str">
        <f aca="false">L9</f>
        <v>0</v>
      </c>
      <c r="M36" s="0" t="str">
        <f aca="false">M9</f>
        <v>0</v>
      </c>
      <c r="N36" s="0" t="str">
        <f aca="false">N9</f>
        <v>1</v>
      </c>
      <c r="O36" s="0" t="str">
        <f aca="false">O9</f>
        <v>0</v>
      </c>
      <c r="P36" s="0" t="str">
        <f aca="false">P9</f>
        <v>1</v>
      </c>
      <c r="Q36" s="0" t="str">
        <f aca="false">Q9</f>
        <v>0</v>
      </c>
      <c r="R36" s="0" t="str">
        <f aca="false">R9</f>
        <v>1</v>
      </c>
      <c r="S36" s="0" t="str">
        <f aca="false">S9</f>
        <v>1</v>
      </c>
      <c r="T36" s="0" t="str">
        <f aca="false">T9</f>
        <v>1</v>
      </c>
      <c r="U36" s="0" t="str">
        <f aca="false">U9</f>
        <v>1</v>
      </c>
    </row>
    <row r="37" customFormat="false" ht="12.8" hidden="false" customHeight="false" outlineLevel="0" collapsed="false">
      <c r="F37" s="0" t="n">
        <f aca="false">MOD(F34+F35+F36,2)</f>
        <v>1</v>
      </c>
      <c r="G37" s="0" t="n">
        <f aca="false">MOD(G34+G35+G36,2)</f>
        <v>0</v>
      </c>
      <c r="H37" s="0" t="n">
        <f aca="false">MOD(H34+H35+H36,2)</f>
        <v>0</v>
      </c>
      <c r="I37" s="0" t="n">
        <f aca="false">MOD(I34+I35+I36,2)</f>
        <v>0</v>
      </c>
      <c r="J37" s="0" t="n">
        <f aca="false">MOD(J34+J35+J36,2)</f>
        <v>1</v>
      </c>
      <c r="K37" s="0" t="n">
        <f aca="false">MOD(K34+K35+K36,2)</f>
        <v>1</v>
      </c>
      <c r="L37" s="0" t="n">
        <f aca="false">MOD(L34+L35+L36,2)</f>
        <v>1</v>
      </c>
      <c r="M37" s="0" t="n">
        <f aca="false">MOD(M34+M35+M36,2)</f>
        <v>1</v>
      </c>
      <c r="N37" s="0" t="n">
        <f aca="false">MOD(N34+N35+N36,2)</f>
        <v>0</v>
      </c>
      <c r="O37" s="0" t="n">
        <f aca="false">MOD(O34+O35+O36,2)</f>
        <v>1</v>
      </c>
      <c r="P37" s="0" t="n">
        <f aca="false">MOD(P34+P35+P36,2)</f>
        <v>0</v>
      </c>
      <c r="Q37" s="0" t="n">
        <f aca="false">MOD(Q34+Q35+Q36,2)</f>
        <v>0</v>
      </c>
      <c r="R37" s="0" t="n">
        <f aca="false">MOD(R34+R35+R36,2)</f>
        <v>1</v>
      </c>
      <c r="S37" s="0" t="n">
        <f aca="false">MOD(S34+S35+S36,2)</f>
        <v>0</v>
      </c>
      <c r="T37" s="0" t="n">
        <f aca="false">MOD(T34+T35+T36,2)</f>
        <v>1</v>
      </c>
      <c r="U37" s="0" t="n">
        <f aca="false">MOD(U34+U35+U36,2)</f>
        <v>1</v>
      </c>
      <c r="V37" s="0" t="n">
        <f aca="false">SUM(X37:AL37)*W37</f>
        <v>-3915</v>
      </c>
      <c r="W37" s="0" t="n">
        <f aca="false">IF(F37=1,-1,1)</f>
        <v>-1</v>
      </c>
      <c r="X37" s="0" t="n">
        <f aca="false">G37*2^X$1</f>
        <v>0</v>
      </c>
      <c r="Y37" s="0" t="n">
        <f aca="false">H37*2^Y$1</f>
        <v>0</v>
      </c>
      <c r="Z37" s="0" t="n">
        <f aca="false">I37*2^Z$1</f>
        <v>0</v>
      </c>
      <c r="AA37" s="0" t="n">
        <f aca="false">J37*2^AA$1</f>
        <v>2048</v>
      </c>
      <c r="AB37" s="0" t="n">
        <f aca="false">K37*2^AB$1</f>
        <v>1024</v>
      </c>
      <c r="AC37" s="0" t="n">
        <f aca="false">L37*2^AC$1</f>
        <v>512</v>
      </c>
      <c r="AD37" s="0" t="n">
        <f aca="false">M37*2^AD$1</f>
        <v>256</v>
      </c>
      <c r="AE37" s="0" t="n">
        <f aca="false">N37*2^AE$1</f>
        <v>0</v>
      </c>
      <c r="AF37" s="0" t="n">
        <f aca="false">O37*2^AF$1</f>
        <v>64</v>
      </c>
      <c r="AG37" s="0" t="n">
        <f aca="false">P37*2^AG$1</f>
        <v>0</v>
      </c>
      <c r="AH37" s="0" t="n">
        <f aca="false">Q37*2^AH$1</f>
        <v>0</v>
      </c>
      <c r="AI37" s="0" t="n">
        <f aca="false">R37*2^AI$1</f>
        <v>8</v>
      </c>
      <c r="AJ37" s="0" t="n">
        <f aca="false">S37*2^AJ$1</f>
        <v>0</v>
      </c>
      <c r="AK37" s="0" t="n">
        <f aca="false">T37*2^AK$1</f>
        <v>2</v>
      </c>
      <c r="AL37" s="0" t="n">
        <f aca="false">U37*2^AL$1</f>
        <v>1</v>
      </c>
    </row>
    <row r="38" customFormat="false" ht="12.8" hidden="false" customHeight="false" outlineLevel="0" collapsed="false">
      <c r="F38" s="0" t="s">
        <v>32</v>
      </c>
      <c r="G38" s="0" t="n">
        <f aca="false">E34</f>
        <v>1</v>
      </c>
      <c r="I38" s="0" t="s">
        <v>28</v>
      </c>
      <c r="J38" s="0" t="n">
        <f aca="false">MOD(SUM(O63:V63) - 1, 2)</f>
        <v>1</v>
      </c>
      <c r="L38" s="0" t="s">
        <v>29</v>
      </c>
      <c r="M38" s="0" t="n">
        <f aca="false">Q34</f>
        <v>1</v>
      </c>
      <c r="O38" s="0" t="s">
        <v>30</v>
      </c>
      <c r="P38" s="0" t="n">
        <f aca="false">IF(SUM(F37:U37)=0,1,0)</f>
        <v>0</v>
      </c>
    </row>
    <row r="39" customFormat="false" ht="12.8" hidden="false" customHeight="false" outlineLevel="0" collapsed="false">
      <c r="X39" s="2" t="str">
        <f aca="false">CONCATENATE("При сложении ", IF(F41+F42=2, "двух отрицательных", ""), IF(F41+F42=0, "двух положительных", ""), IF(F41+F42=1, "положительного и отрицательного", ""), " слагаемых получено ", IF(F43=0, "положи", "отрица"), "тельное число Результат операции ", IF(MOD(F40+E40,2)=0, "верный и корректный,", "НЕ верный и НЕ корректный,"), IF(V43=B9+B10, "", " НЕ"), " совпадает с суммой десятичных эквивалентов")</f>
        <v>При сложении двух отрицательных слагаемых получено положительное число Результат операции НЕ верный и НЕ корректный, НЕ совпадает с суммой десятичных эквивалентов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customFormat="false" ht="12.8" hidden="false" customHeight="false" outlineLevel="0" collapsed="false">
      <c r="E40" s="0" t="n">
        <f aca="false">IF(F40+F41+F42&gt;1,1,0)</f>
        <v>1</v>
      </c>
      <c r="F40" s="0" t="n">
        <f aca="false">IF(G40+G41+G42&gt;1,1,0)</f>
        <v>0</v>
      </c>
      <c r="G40" s="0" t="n">
        <f aca="false">IF(H40+H41+H42&gt;1,1,0)</f>
        <v>0</v>
      </c>
      <c r="H40" s="0" t="n">
        <f aca="false">IF(I40+I41+I42&gt;1,1,0)</f>
        <v>1</v>
      </c>
      <c r="I40" s="0" t="n">
        <f aca="false">IF(J40+J41+J42&gt;1,1,0)</f>
        <v>1</v>
      </c>
      <c r="J40" s="0" t="n">
        <f aca="false">IF(K40+K41+K42&gt;1,1,0)</f>
        <v>0</v>
      </c>
      <c r="K40" s="0" t="n">
        <f aca="false">IF(L40+L41+L42&gt;1,1,0)</f>
        <v>0</v>
      </c>
      <c r="L40" s="0" t="n">
        <f aca="false">IF(M40+M41+M42&gt;1,1,0)</f>
        <v>0</v>
      </c>
      <c r="M40" s="0" t="n">
        <f aca="false">IF(N40+N41+N42&gt;1,1,0)</f>
        <v>0</v>
      </c>
      <c r="N40" s="0" t="n">
        <f aca="false">IF(O40+O41+O42&gt;1,1,0)</f>
        <v>0</v>
      </c>
      <c r="O40" s="0" t="n">
        <f aca="false">IF(P40+P41+P42&gt;1,1,0)</f>
        <v>0</v>
      </c>
      <c r="P40" s="0" t="n">
        <f aca="false">IF(Q40+Q41+Q42&gt;1,1,0)</f>
        <v>0</v>
      </c>
      <c r="Q40" s="0" t="n">
        <f aca="false">IF(R40+R41+R42&gt;1,1,0)</f>
        <v>1</v>
      </c>
      <c r="R40" s="0" t="n">
        <f aca="false">IF(S40+S41+S42&gt;1,1,0)</f>
        <v>1</v>
      </c>
      <c r="S40" s="0" t="n">
        <f aca="false">IF(T40+T41+T42&gt;1,1,0)</f>
        <v>1</v>
      </c>
      <c r="T40" s="0" t="n">
        <f aca="false">IF(U40+U41+U42&gt;1,1,0)</f>
        <v>1</v>
      </c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customFormat="false" ht="12.8" hidden="false" customHeight="false" outlineLevel="0" collapsed="false">
      <c r="E41" s="0" t="s">
        <v>17</v>
      </c>
      <c r="F41" s="0" t="str">
        <f aca="false">F36</f>
        <v>1</v>
      </c>
      <c r="G41" s="0" t="str">
        <f aca="false">G36</f>
        <v>0</v>
      </c>
      <c r="H41" s="0" t="str">
        <f aca="false">H36</f>
        <v>0</v>
      </c>
      <c r="I41" s="0" t="str">
        <f aca="false">I36</f>
        <v>1</v>
      </c>
      <c r="J41" s="0" t="str">
        <f aca="false">J36</f>
        <v>1</v>
      </c>
      <c r="K41" s="0" t="str">
        <f aca="false">K36</f>
        <v>0</v>
      </c>
      <c r="L41" s="0" t="str">
        <f aca="false">L36</f>
        <v>0</v>
      </c>
      <c r="M41" s="0" t="str">
        <f aca="false">M36</f>
        <v>0</v>
      </c>
      <c r="N41" s="0" t="str">
        <f aca="false">N36</f>
        <v>1</v>
      </c>
      <c r="O41" s="0" t="str">
        <f aca="false">O36</f>
        <v>0</v>
      </c>
      <c r="P41" s="0" t="str">
        <f aca="false">P36</f>
        <v>1</v>
      </c>
      <c r="Q41" s="0" t="str">
        <f aca="false">Q36</f>
        <v>0</v>
      </c>
      <c r="R41" s="0" t="str">
        <f aca="false">R36</f>
        <v>1</v>
      </c>
      <c r="S41" s="0" t="str">
        <f aca="false">S36</f>
        <v>1</v>
      </c>
      <c r="T41" s="0" t="str">
        <f aca="false">T36</f>
        <v>1</v>
      </c>
      <c r="U41" s="0" t="str">
        <f aca="false">U36</f>
        <v>1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customFormat="false" ht="12.8" hidden="false" customHeight="false" outlineLevel="0" collapsed="false">
      <c r="E42" s="0" t="s">
        <v>19</v>
      </c>
      <c r="F42" s="0" t="str">
        <f aca="false">F10</f>
        <v>1</v>
      </c>
      <c r="G42" s="0" t="str">
        <f aca="false">G10</f>
        <v>0</v>
      </c>
      <c r="H42" s="0" t="str">
        <f aca="false">H10</f>
        <v>0</v>
      </c>
      <c r="I42" s="0" t="str">
        <f aca="false">I10</f>
        <v>0</v>
      </c>
      <c r="J42" s="0" t="str">
        <f aca="false">J10</f>
        <v>1</v>
      </c>
      <c r="K42" s="0" t="str">
        <f aca="false">K10</f>
        <v>1</v>
      </c>
      <c r="L42" s="0" t="str">
        <f aca="false">L10</f>
        <v>1</v>
      </c>
      <c r="M42" s="0" t="str">
        <f aca="false">M10</f>
        <v>1</v>
      </c>
      <c r="N42" s="0" t="str">
        <f aca="false">N10</f>
        <v>0</v>
      </c>
      <c r="O42" s="0" t="str">
        <f aca="false">O10</f>
        <v>1</v>
      </c>
      <c r="P42" s="0" t="str">
        <f aca="false">P10</f>
        <v>0</v>
      </c>
      <c r="Q42" s="0" t="str">
        <f aca="false">Q10</f>
        <v>0</v>
      </c>
      <c r="R42" s="0" t="str">
        <f aca="false">R10</f>
        <v>1</v>
      </c>
      <c r="S42" s="0" t="str">
        <f aca="false">S10</f>
        <v>0</v>
      </c>
      <c r="T42" s="0" t="str">
        <f aca="false">T10</f>
        <v>1</v>
      </c>
      <c r="U42" s="0" t="str">
        <f aca="false">U10</f>
        <v>1</v>
      </c>
    </row>
    <row r="43" customFormat="false" ht="12.8" hidden="false" customHeight="false" outlineLevel="0" collapsed="false">
      <c r="F43" s="0" t="n">
        <f aca="false">MOD(F40+F41+F42,2)</f>
        <v>0</v>
      </c>
      <c r="G43" s="0" t="n">
        <f aca="false">MOD(G40+G41+G42,2)</f>
        <v>0</v>
      </c>
      <c r="H43" s="0" t="n">
        <f aca="false">MOD(H40+H41+H42,2)</f>
        <v>1</v>
      </c>
      <c r="I43" s="0" t="n">
        <f aca="false">MOD(I40+I41+I42,2)</f>
        <v>0</v>
      </c>
      <c r="J43" s="0" t="n">
        <f aca="false">MOD(J40+J41+J42,2)</f>
        <v>0</v>
      </c>
      <c r="K43" s="0" t="n">
        <f aca="false">MOD(K40+K41+K42,2)</f>
        <v>1</v>
      </c>
      <c r="L43" s="0" t="n">
        <f aca="false">MOD(L40+L41+L42,2)</f>
        <v>1</v>
      </c>
      <c r="M43" s="0" t="n">
        <f aca="false">MOD(M40+M41+M42,2)</f>
        <v>1</v>
      </c>
      <c r="N43" s="0" t="n">
        <f aca="false">MOD(N40+N41+N42,2)</f>
        <v>1</v>
      </c>
      <c r="O43" s="0" t="n">
        <f aca="false">MOD(O40+O41+O42,2)</f>
        <v>1</v>
      </c>
      <c r="P43" s="0" t="n">
        <f aca="false">MOD(P40+P41+P42,2)</f>
        <v>1</v>
      </c>
      <c r="Q43" s="0" t="n">
        <f aca="false">MOD(Q40+Q41+Q42,2)</f>
        <v>1</v>
      </c>
      <c r="R43" s="0" t="n">
        <f aca="false">MOD(R40+R41+R42,2)</f>
        <v>1</v>
      </c>
      <c r="S43" s="0" t="n">
        <f aca="false">MOD(S40+S41+S42,2)</f>
        <v>0</v>
      </c>
      <c r="T43" s="0" t="n">
        <f aca="false">MOD(T40+T41+T42,2)</f>
        <v>1</v>
      </c>
      <c r="U43" s="0" t="n">
        <f aca="false">MOD(U40+U41+U42,2)</f>
        <v>0</v>
      </c>
      <c r="V43" s="0" t="n">
        <f aca="false">SUM(X43:AL43)*W43</f>
        <v>10234</v>
      </c>
      <c r="W43" s="0" t="n">
        <f aca="false">IF(F43=1,-1,1)</f>
        <v>1</v>
      </c>
      <c r="X43" s="0" t="n">
        <f aca="false">G43*2^X$1</f>
        <v>0</v>
      </c>
      <c r="Y43" s="0" t="n">
        <f aca="false">H43*2^Y$1</f>
        <v>8192</v>
      </c>
      <c r="Z43" s="0" t="n">
        <f aca="false">I43*2^Z$1</f>
        <v>0</v>
      </c>
      <c r="AA43" s="0" t="n">
        <f aca="false">J43*2^AA$1</f>
        <v>0</v>
      </c>
      <c r="AB43" s="0" t="n">
        <f aca="false">K43*2^AB$1</f>
        <v>1024</v>
      </c>
      <c r="AC43" s="0" t="n">
        <f aca="false">L43*2^AC$1</f>
        <v>512</v>
      </c>
      <c r="AD43" s="0" t="n">
        <f aca="false">M43*2^AD$1</f>
        <v>256</v>
      </c>
      <c r="AE43" s="0" t="n">
        <f aca="false">N43*2^AE$1</f>
        <v>128</v>
      </c>
      <c r="AF43" s="0" t="n">
        <f aca="false">O43*2^AF$1</f>
        <v>64</v>
      </c>
      <c r="AG43" s="0" t="n">
        <f aca="false">P43*2^AG$1</f>
        <v>32</v>
      </c>
      <c r="AH43" s="0" t="n">
        <f aca="false">Q43*2^AH$1</f>
        <v>16</v>
      </c>
      <c r="AI43" s="0" t="n">
        <f aca="false">R43*2^AI$1</f>
        <v>8</v>
      </c>
      <c r="AJ43" s="0" t="n">
        <f aca="false">S43*2^AJ$1</f>
        <v>0</v>
      </c>
      <c r="AK43" s="0" t="n">
        <f aca="false">T43*2^AK$1</f>
        <v>2</v>
      </c>
      <c r="AL43" s="0" t="n">
        <f aca="false">U43*2^AL$1</f>
        <v>0</v>
      </c>
    </row>
    <row r="44" customFormat="false" ht="12.8" hidden="false" customHeight="false" outlineLevel="0" collapsed="false">
      <c r="F44" s="0" t="s">
        <v>32</v>
      </c>
      <c r="G44" s="0" t="n">
        <f aca="false">E40</f>
        <v>1</v>
      </c>
      <c r="I44" s="0" t="s">
        <v>28</v>
      </c>
      <c r="J44" s="0" t="n">
        <f aca="false">MOD(SUM(O69:V69) - 1, 2)</f>
        <v>1</v>
      </c>
      <c r="L44" s="0" t="s">
        <v>29</v>
      </c>
      <c r="M44" s="0" t="n">
        <f aca="false">Q40</f>
        <v>1</v>
      </c>
      <c r="O44" s="0" t="s">
        <v>30</v>
      </c>
      <c r="P44" s="0" t="n">
        <f aca="false">IF(SUM(F43:U43)=0,1,0)</f>
        <v>0</v>
      </c>
    </row>
    <row r="45" customFormat="false" ht="12.8" hidden="false" customHeight="false" outlineLevel="0" collapsed="false">
      <c r="X45" s="2" t="str">
        <f aca="false">CONCATENATE("При сложении ", IF(F47+F48=2, "двух отрицательных", ""), IF(F47+F48=0, "двух положительных", ""), IF(F47+F48=1, "положительного и отрицательного", ""), " слагаемых получено ", IF(F49=0, "положи", "отрица"), "тельное число Результат операции ", IF(MOD(F46+E46,2)=0, "верный и корректный,", "НЕ верный и НЕ корректный,"), IF(V49=B2+B9, "", " НЕ"), " совпадает с суммой десятичных эквивалентов")</f>
        <v>При сложении положительного и отрицательного слагаемых получено отрицательное число Результат операции верный и корректный, НЕ совпадает с суммой десятичных эквивалентов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customFormat="false" ht="12.8" hidden="false" customHeight="false" outlineLevel="0" collapsed="false">
      <c r="E46" s="0" t="n">
        <f aca="false">IF(F46+F47+F48&gt;1,1,0)</f>
        <v>0</v>
      </c>
      <c r="F46" s="0" t="n">
        <f aca="false">IF(G46+G47+G48&gt;1,1,0)</f>
        <v>0</v>
      </c>
      <c r="G46" s="0" t="n">
        <f aca="false">IF(H46+H47+H48&gt;1,1,0)</f>
        <v>0</v>
      </c>
      <c r="H46" s="0" t="n">
        <f aca="false">IF(I46+I47+I48&gt;1,1,0)</f>
        <v>1</v>
      </c>
      <c r="I46" s="0" t="n">
        <f aca="false">IF(J46+J47+J48&gt;1,1,0)</f>
        <v>1</v>
      </c>
      <c r="J46" s="0" t="n">
        <f aca="false">IF(K46+K47+K48&gt;1,1,0)</f>
        <v>0</v>
      </c>
      <c r="K46" s="0" t="n">
        <f aca="false">IF(L46+L47+L48&gt;1,1,0)</f>
        <v>0</v>
      </c>
      <c r="L46" s="0" t="n">
        <f aca="false">IF(M46+M47+M48&gt;1,1,0)</f>
        <v>1</v>
      </c>
      <c r="M46" s="0" t="n">
        <f aca="false">IF(N46+N47+N48&gt;1,1,0)</f>
        <v>1</v>
      </c>
      <c r="N46" s="0" t="n">
        <f aca="false">IF(O46+O47+O48&gt;1,1,0)</f>
        <v>1</v>
      </c>
      <c r="O46" s="0" t="n">
        <f aca="false">IF(P46+P47+P48&gt;1,1,0)</f>
        <v>1</v>
      </c>
      <c r="P46" s="0" t="n">
        <f aca="false">IF(Q46+Q47+Q48&gt;1,1,0)</f>
        <v>0</v>
      </c>
      <c r="Q46" s="0" t="n">
        <f aca="false">IF(R46+R47+R48&gt;1,1,0)</f>
        <v>1</v>
      </c>
      <c r="R46" s="0" t="n">
        <f aca="false">IF(S46+S47+S48&gt;1,1,0)</f>
        <v>1</v>
      </c>
      <c r="S46" s="0" t="n">
        <f aca="false">IF(T46+T47+T48&gt;1,1,0)</f>
        <v>0</v>
      </c>
      <c r="T46" s="0" t="n">
        <f aca="false">IF(U46+U47+U48&gt;1,1,0)</f>
        <v>0</v>
      </c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customFormat="false" ht="12.8" hidden="false" customHeight="false" outlineLevel="0" collapsed="false">
      <c r="E47" s="0" t="s">
        <v>3</v>
      </c>
      <c r="F47" s="0" t="str">
        <f aca="false">F2</f>
        <v>0</v>
      </c>
      <c r="G47" s="0" t="str">
        <f aca="false">G2</f>
        <v>0</v>
      </c>
      <c r="H47" s="0" t="str">
        <f aca="false">H2</f>
        <v>0</v>
      </c>
      <c r="I47" s="0" t="str">
        <f aca="false">I2</f>
        <v>0</v>
      </c>
      <c r="J47" s="0" t="str">
        <f aca="false">J2</f>
        <v>1</v>
      </c>
      <c r="K47" s="0" t="str">
        <f aca="false">K2</f>
        <v>0</v>
      </c>
      <c r="L47" s="0" t="str">
        <f aca="false">L2</f>
        <v>0</v>
      </c>
      <c r="M47" s="0" t="str">
        <f aca="false">M2</f>
        <v>1</v>
      </c>
      <c r="N47" s="0" t="str">
        <f aca="false">N2</f>
        <v>0</v>
      </c>
      <c r="O47" s="0" t="str">
        <f aca="false">O2</f>
        <v>1</v>
      </c>
      <c r="P47" s="0" t="str">
        <f aca="false">P2</f>
        <v>1</v>
      </c>
      <c r="Q47" s="0" t="str">
        <f aca="false">Q2</f>
        <v>0</v>
      </c>
      <c r="R47" s="0" t="str">
        <f aca="false">R2</f>
        <v>0</v>
      </c>
      <c r="S47" s="0" t="str">
        <f aca="false">S2</f>
        <v>1</v>
      </c>
      <c r="T47" s="0" t="str">
        <f aca="false">T2</f>
        <v>0</v>
      </c>
      <c r="U47" s="0" t="str">
        <f aca="false">U2</f>
        <v>0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customFormat="false" ht="12.8" hidden="false" customHeight="false" outlineLevel="0" collapsed="false">
      <c r="E48" s="0" t="s">
        <v>17</v>
      </c>
      <c r="F48" s="0" t="str">
        <f aca="false">F9</f>
        <v>1</v>
      </c>
      <c r="G48" s="0" t="str">
        <f aca="false">G9</f>
        <v>0</v>
      </c>
      <c r="H48" s="0" t="str">
        <f aca="false">H9</f>
        <v>0</v>
      </c>
      <c r="I48" s="0" t="str">
        <f aca="false">I9</f>
        <v>1</v>
      </c>
      <c r="J48" s="0" t="str">
        <f aca="false">J9</f>
        <v>1</v>
      </c>
      <c r="K48" s="0" t="str">
        <f aca="false">K9</f>
        <v>0</v>
      </c>
      <c r="L48" s="0" t="str">
        <f aca="false">L9</f>
        <v>0</v>
      </c>
      <c r="M48" s="0" t="str">
        <f aca="false">M9</f>
        <v>0</v>
      </c>
      <c r="N48" s="0" t="str">
        <f aca="false">N9</f>
        <v>1</v>
      </c>
      <c r="O48" s="0" t="str">
        <f aca="false">O9</f>
        <v>0</v>
      </c>
      <c r="P48" s="0" t="str">
        <f aca="false">P9</f>
        <v>1</v>
      </c>
      <c r="Q48" s="0" t="str">
        <f aca="false">Q9</f>
        <v>0</v>
      </c>
      <c r="R48" s="0" t="str">
        <f aca="false">R9</f>
        <v>1</v>
      </c>
      <c r="S48" s="0" t="str">
        <f aca="false">S9</f>
        <v>1</v>
      </c>
      <c r="T48" s="0" t="str">
        <f aca="false">T9</f>
        <v>1</v>
      </c>
      <c r="U48" s="0" t="str">
        <f aca="false">U9</f>
        <v>1</v>
      </c>
    </row>
    <row r="49" customFormat="false" ht="12.8" hidden="false" customHeight="false" outlineLevel="0" collapsed="false">
      <c r="F49" s="0" t="n">
        <f aca="false">MOD(F46+F47+F48,2)</f>
        <v>1</v>
      </c>
      <c r="G49" s="0" t="n">
        <f aca="false">MOD(G46+G47+G48,2)</f>
        <v>0</v>
      </c>
      <c r="H49" s="0" t="n">
        <f aca="false">MOD(H46+H47+H48,2)</f>
        <v>1</v>
      </c>
      <c r="I49" s="0" t="n">
        <f aca="false">MOD(I46+I47+I48,2)</f>
        <v>0</v>
      </c>
      <c r="J49" s="0" t="n">
        <f aca="false">MOD(J46+J47+J48,2)</f>
        <v>0</v>
      </c>
      <c r="K49" s="0" t="n">
        <f aca="false">MOD(K46+K47+K48,2)</f>
        <v>0</v>
      </c>
      <c r="L49" s="0" t="n">
        <f aca="false">MOD(L46+L47+L48,2)</f>
        <v>1</v>
      </c>
      <c r="M49" s="0" t="n">
        <f aca="false">MOD(M46+M47+M48,2)</f>
        <v>0</v>
      </c>
      <c r="N49" s="0" t="n">
        <f aca="false">MOD(N46+N47+N48,2)</f>
        <v>0</v>
      </c>
      <c r="O49" s="0" t="n">
        <f aca="false">MOD(O46+O47+O48,2)</f>
        <v>0</v>
      </c>
      <c r="P49" s="0" t="n">
        <f aca="false">MOD(P46+P47+P48,2)</f>
        <v>0</v>
      </c>
      <c r="Q49" s="0" t="n">
        <f aca="false">MOD(Q46+Q47+Q48,2)</f>
        <v>1</v>
      </c>
      <c r="R49" s="0" t="n">
        <f aca="false">MOD(R46+R47+R48,2)</f>
        <v>0</v>
      </c>
      <c r="S49" s="0" t="n">
        <f aca="false">MOD(S46+S47+S48,2)</f>
        <v>0</v>
      </c>
      <c r="T49" s="0" t="n">
        <f aca="false">MOD(T46+T47+T48,2)</f>
        <v>1</v>
      </c>
      <c r="U49" s="0" t="n">
        <f aca="false">MOD(U46+U47+U48,2)</f>
        <v>1</v>
      </c>
      <c r="V49" s="0" t="n">
        <f aca="false">SUM(X49:AL49)*W49</f>
        <v>-8723</v>
      </c>
      <c r="W49" s="0" t="n">
        <f aca="false">IF(F49=1,-1,1)</f>
        <v>-1</v>
      </c>
      <c r="X49" s="0" t="n">
        <f aca="false">G49*2^X$1</f>
        <v>0</v>
      </c>
      <c r="Y49" s="0" t="n">
        <f aca="false">H49*2^Y$1</f>
        <v>8192</v>
      </c>
      <c r="Z49" s="0" t="n">
        <f aca="false">I49*2^Z$1</f>
        <v>0</v>
      </c>
      <c r="AA49" s="0" t="n">
        <f aca="false">J49*2^AA$1</f>
        <v>0</v>
      </c>
      <c r="AB49" s="0" t="n">
        <f aca="false">K49*2^AB$1</f>
        <v>0</v>
      </c>
      <c r="AC49" s="0" t="n">
        <f aca="false">L49*2^AC$1</f>
        <v>512</v>
      </c>
      <c r="AD49" s="0" t="n">
        <f aca="false">M49*2^AD$1</f>
        <v>0</v>
      </c>
      <c r="AE49" s="0" t="n">
        <f aca="false">N49*2^AE$1</f>
        <v>0</v>
      </c>
      <c r="AF49" s="0" t="n">
        <f aca="false">O49*2^AF$1</f>
        <v>0</v>
      </c>
      <c r="AG49" s="0" t="n">
        <f aca="false">P49*2^AG$1</f>
        <v>0</v>
      </c>
      <c r="AH49" s="0" t="n">
        <f aca="false">Q49*2^AH$1</f>
        <v>16</v>
      </c>
      <c r="AI49" s="0" t="n">
        <f aca="false">R49*2^AI$1</f>
        <v>0</v>
      </c>
      <c r="AJ49" s="0" t="n">
        <f aca="false">S49*2^AJ$1</f>
        <v>0</v>
      </c>
      <c r="AK49" s="0" t="n">
        <f aca="false">T49*2^AK$1</f>
        <v>2</v>
      </c>
      <c r="AL49" s="0" t="n">
        <f aca="false">U49*2^AL$1</f>
        <v>1</v>
      </c>
    </row>
    <row r="50" customFormat="false" ht="12.8" hidden="false" customHeight="false" outlineLevel="0" collapsed="false">
      <c r="F50" s="0" t="s">
        <v>32</v>
      </c>
      <c r="G50" s="0" t="n">
        <f aca="false">E46</f>
        <v>0</v>
      </c>
      <c r="I50" s="0" t="s">
        <v>28</v>
      </c>
      <c r="J50" s="0" t="n">
        <f aca="false">MOD(SUM(O75:V75) - 1, 2)</f>
        <v>1</v>
      </c>
      <c r="L50" s="0" t="s">
        <v>29</v>
      </c>
      <c r="M50" s="0" t="n">
        <f aca="false">Q46</f>
        <v>1</v>
      </c>
      <c r="O50" s="0" t="s">
        <v>30</v>
      </c>
      <c r="P50" s="0" t="n">
        <f aca="false">IF(SUM(F49:U49)=0,1,0)</f>
        <v>0</v>
      </c>
    </row>
    <row r="51" customFormat="false" ht="12.8" hidden="false" customHeight="false" outlineLevel="0" collapsed="false"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customFormat="false" ht="12.8" hidden="false" customHeight="false" outlineLevel="0" collapsed="false">
      <c r="E52" s="0" t="n">
        <f aca="false">IF(F52+F53+F54&gt;1,1,0)</f>
        <v>1</v>
      </c>
      <c r="F52" s="0" t="n">
        <f aca="false">IF(G52+G53+G54&gt;1,1,0)</f>
        <v>1</v>
      </c>
      <c r="G52" s="0" t="n">
        <f aca="false">IF(H52+H53+H54&gt;1,1,0)</f>
        <v>1</v>
      </c>
      <c r="H52" s="0" t="n">
        <f aca="false">IF(I52+I53+I54&gt;1,1,0)</f>
        <v>0</v>
      </c>
      <c r="I52" s="0" t="n">
        <f aca="false">IF(J52+J53+J54&gt;1,1,0)</f>
        <v>0</v>
      </c>
      <c r="J52" s="0" t="n">
        <f aca="false">IF(K52+K53+K54&gt;1,1,0)</f>
        <v>0</v>
      </c>
      <c r="K52" s="0" t="n">
        <f aca="false">IF(L52+L53+L54&gt;1,1,0)</f>
        <v>0</v>
      </c>
      <c r="L52" s="0" t="n">
        <f aca="false">IF(M52+M53+M54&gt;1,1,0)</f>
        <v>0</v>
      </c>
      <c r="M52" s="0" t="n">
        <f aca="false">IF(N52+N53+N54&gt;1,1,0)</f>
        <v>0</v>
      </c>
      <c r="N52" s="0" t="n">
        <f aca="false">IF(O52+O53+O54&gt;1,1,0)</f>
        <v>0</v>
      </c>
      <c r="O52" s="0" t="n">
        <f aca="false">IF(P52+P53+P54&gt;1,1,0)</f>
        <v>1</v>
      </c>
      <c r="P52" s="0" t="n">
        <f aca="false">IF(Q52+Q53+Q54&gt;1,1,0)</f>
        <v>1</v>
      </c>
      <c r="Q52" s="0" t="n">
        <f aca="false">IF(R52+R53+R54&gt;1,1,0)</f>
        <v>0</v>
      </c>
      <c r="R52" s="0" t="n">
        <f aca="false">IF(S52+S53+S54&gt;1,1,0)</f>
        <v>1</v>
      </c>
      <c r="S52" s="0" t="n">
        <f aca="false">IF(T52+T53+T54&gt;1,1,0)</f>
        <v>1</v>
      </c>
      <c r="T52" s="0" t="n">
        <f aca="false">IF(U52+U53+U54&gt;1,1,0)</f>
        <v>1</v>
      </c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customFormat="false" ht="12.8" hidden="false" customHeight="false" outlineLevel="0" collapsed="false">
      <c r="E53" s="0" t="s">
        <v>23</v>
      </c>
      <c r="F53" s="0" t="str">
        <f aca="false">F12</f>
        <v>1</v>
      </c>
      <c r="G53" s="0" t="str">
        <f aca="false">G12</f>
        <v>0</v>
      </c>
      <c r="H53" s="0" t="str">
        <f aca="false">H12</f>
        <v>1</v>
      </c>
      <c r="I53" s="0" t="str">
        <f aca="false">I12</f>
        <v>0</v>
      </c>
      <c r="J53" s="0" t="str">
        <f aca="false">J12</f>
        <v>0</v>
      </c>
      <c r="K53" s="0" t="str">
        <f aca="false">K12</f>
        <v>0</v>
      </c>
      <c r="L53" s="0" t="str">
        <f aca="false">L12</f>
        <v>1</v>
      </c>
      <c r="M53" s="0" t="str">
        <f aca="false">M12</f>
        <v>0</v>
      </c>
      <c r="N53" s="0" t="str">
        <f aca="false">N12</f>
        <v>0</v>
      </c>
      <c r="O53" s="0" t="str">
        <f aca="false">O12</f>
        <v>0</v>
      </c>
      <c r="P53" s="0" t="str">
        <f aca="false">P12</f>
        <v>0</v>
      </c>
      <c r="Q53" s="0" t="str">
        <f aca="false">Q12</f>
        <v>1</v>
      </c>
      <c r="R53" s="0" t="str">
        <f aca="false">R12</f>
        <v>0</v>
      </c>
      <c r="S53" s="0" t="str">
        <f aca="false">S12</f>
        <v>0</v>
      </c>
      <c r="T53" s="0" t="str">
        <f aca="false">T12</f>
        <v>1</v>
      </c>
      <c r="U53" s="0" t="str">
        <f aca="false">U12</f>
        <v>1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customFormat="false" ht="12.8" hidden="false" customHeight="false" outlineLevel="0" collapsed="false">
      <c r="E54" s="0" t="s">
        <v>7</v>
      </c>
      <c r="F54" s="0" t="str">
        <f aca="false">F4</f>
        <v>0</v>
      </c>
      <c r="G54" s="0" t="str">
        <f aca="false">G4</f>
        <v>1</v>
      </c>
      <c r="H54" s="0" t="str">
        <f aca="false">H4</f>
        <v>1</v>
      </c>
      <c r="I54" s="0" t="str">
        <f aca="false">I4</f>
        <v>1</v>
      </c>
      <c r="J54" s="0" t="str">
        <f aca="false">J4</f>
        <v>0</v>
      </c>
      <c r="K54" s="0" t="str">
        <f aca="false">K4</f>
        <v>0</v>
      </c>
      <c r="L54" s="0" t="str">
        <f aca="false">L4</f>
        <v>0</v>
      </c>
      <c r="M54" s="0" t="str">
        <f aca="false">M4</f>
        <v>0</v>
      </c>
      <c r="N54" s="0" t="str">
        <f aca="false">N4</f>
        <v>1</v>
      </c>
      <c r="O54" s="0" t="str">
        <f aca="false">O4</f>
        <v>0</v>
      </c>
      <c r="P54" s="0" t="str">
        <f aca="false">P4</f>
        <v>1</v>
      </c>
      <c r="Q54" s="0" t="str">
        <f aca="false">Q4</f>
        <v>1</v>
      </c>
      <c r="R54" s="0" t="str">
        <f aca="false">R4</f>
        <v>0</v>
      </c>
      <c r="S54" s="0" t="str">
        <f aca="false">S4</f>
        <v>1</v>
      </c>
      <c r="T54" s="0" t="str">
        <f aca="false">T4</f>
        <v>0</v>
      </c>
      <c r="U54" s="0" t="str">
        <f aca="false">U4</f>
        <v>1</v>
      </c>
    </row>
    <row r="55" customFormat="false" ht="12.8" hidden="false" customHeight="false" outlineLevel="0" collapsed="false">
      <c r="F55" s="0" t="n">
        <f aca="false">MOD(F52+F53+F54,2)</f>
        <v>0</v>
      </c>
      <c r="G55" s="0" t="n">
        <f aca="false">MOD(G52+G53+G54,2)</f>
        <v>0</v>
      </c>
      <c r="H55" s="0" t="n">
        <f aca="false">MOD(H52+H53+H54,2)</f>
        <v>0</v>
      </c>
      <c r="I55" s="0" t="n">
        <f aca="false">MOD(I52+I53+I54,2)</f>
        <v>1</v>
      </c>
      <c r="J55" s="0" t="n">
        <f aca="false">MOD(J52+J53+J54,2)</f>
        <v>0</v>
      </c>
      <c r="K55" s="0" t="n">
        <f aca="false">MOD(K52+K53+K54,2)</f>
        <v>0</v>
      </c>
      <c r="L55" s="0" t="n">
        <f aca="false">MOD(L52+L53+L54,2)</f>
        <v>1</v>
      </c>
      <c r="M55" s="0" t="n">
        <f aca="false">MOD(M52+M53+M54,2)</f>
        <v>0</v>
      </c>
      <c r="N55" s="0" t="n">
        <f aca="false">MOD(N52+N53+N54,2)</f>
        <v>1</v>
      </c>
      <c r="O55" s="0" t="n">
        <f aca="false">MOD(O52+O53+O54,2)</f>
        <v>1</v>
      </c>
      <c r="P55" s="0" t="n">
        <f aca="false">MOD(P52+P53+P54,2)</f>
        <v>0</v>
      </c>
      <c r="Q55" s="0" t="n">
        <f aca="false">MOD(Q52+Q53+Q54,2)</f>
        <v>0</v>
      </c>
      <c r="R55" s="0" t="n">
        <f aca="false">MOD(R52+R53+R54,2)</f>
        <v>1</v>
      </c>
      <c r="S55" s="0" t="n">
        <f aca="false">MOD(S52+S53+S54,2)</f>
        <v>0</v>
      </c>
      <c r="T55" s="0" t="n">
        <f aca="false">MOD(T52+T53+T54,2)</f>
        <v>0</v>
      </c>
      <c r="U55" s="0" t="n">
        <f aca="false">MOD(U52+U53+U54,2)</f>
        <v>0</v>
      </c>
      <c r="V55" s="0" t="n">
        <f aca="false">SUM(X55:AL55)*W55</f>
        <v>4808</v>
      </c>
      <c r="W55" s="0" t="n">
        <f aca="false">IF(F55=1,-1,1)</f>
        <v>1</v>
      </c>
      <c r="X55" s="0" t="n">
        <f aca="false">G55*2^X$1</f>
        <v>0</v>
      </c>
      <c r="Y55" s="0" t="n">
        <f aca="false">H55*2^Y$1</f>
        <v>0</v>
      </c>
      <c r="Z55" s="0" t="n">
        <f aca="false">I55*2^Z$1</f>
        <v>4096</v>
      </c>
      <c r="AA55" s="0" t="n">
        <f aca="false">J55*2^AA$1</f>
        <v>0</v>
      </c>
      <c r="AB55" s="0" t="n">
        <f aca="false">K55*2^AB$1</f>
        <v>0</v>
      </c>
      <c r="AC55" s="0" t="n">
        <f aca="false">L55*2^AC$1</f>
        <v>512</v>
      </c>
      <c r="AD55" s="0" t="n">
        <f aca="false">M55*2^AD$1</f>
        <v>0</v>
      </c>
      <c r="AE55" s="0" t="n">
        <f aca="false">N55*2^AE$1</f>
        <v>128</v>
      </c>
      <c r="AF55" s="0" t="n">
        <f aca="false">O55*2^AF$1</f>
        <v>64</v>
      </c>
      <c r="AG55" s="0" t="n">
        <f aca="false">P55*2^AG$1</f>
        <v>0</v>
      </c>
      <c r="AH55" s="0" t="n">
        <f aca="false">Q55*2^AH$1</f>
        <v>0</v>
      </c>
      <c r="AI55" s="0" t="n">
        <f aca="false">R55*2^AI$1</f>
        <v>8</v>
      </c>
      <c r="AJ55" s="0" t="n">
        <f aca="false">S55*2^AJ$1</f>
        <v>0</v>
      </c>
      <c r="AK55" s="0" t="n">
        <f aca="false">T55*2^AK$1</f>
        <v>0</v>
      </c>
      <c r="AL55" s="0" t="n">
        <f aca="false">U55*2^AL$1</f>
        <v>0</v>
      </c>
    </row>
    <row r="56" customFormat="false" ht="12.8" hidden="false" customHeight="false" outlineLevel="0" collapsed="false">
      <c r="F56" s="0" t="s">
        <v>32</v>
      </c>
      <c r="G56" s="0" t="n">
        <f aca="false">E52</f>
        <v>1</v>
      </c>
      <c r="I56" s="0" t="s">
        <v>28</v>
      </c>
      <c r="J56" s="0" t="n">
        <f aca="false">MOD(SUM(O81:V81) - 1, 2)</f>
        <v>1</v>
      </c>
      <c r="L56" s="0" t="s">
        <v>29</v>
      </c>
      <c r="M56" s="0" t="n">
        <f aca="false">Q52</f>
        <v>0</v>
      </c>
      <c r="O56" s="0" t="s">
        <v>30</v>
      </c>
      <c r="P56" s="0" t="n">
        <f aca="false">IF(SUM(F55:U55)=0,1,0)</f>
        <v>0</v>
      </c>
    </row>
  </sheetData>
  <mergeCells count="7">
    <mergeCell ref="X15:AL17"/>
    <mergeCell ref="X21:AL23"/>
    <mergeCell ref="X27:AL29"/>
    <mergeCell ref="X33:AL35"/>
    <mergeCell ref="X39:AL41"/>
    <mergeCell ref="X45:AL47"/>
    <mergeCell ref="X51:AL5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2025-12-24T11:45:28Z</dcterms:created>
  <dc:creator/>
  <dc:description/>
  <dc:language>ru-RU</dc:language>
  <cp:lastModifiedBy/>
  <dcterms:modified xsi:type="dcterms:W3CDTF">2025-12-24T16:03:00Z</dcterms:modified>
  <cp:revision>2</cp:revision>
  <dc:subject/>
  <dc:title/>
</cp:coreProperties>
</file>